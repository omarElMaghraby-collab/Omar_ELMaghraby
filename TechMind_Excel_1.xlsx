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TECHMIND PROJECTS\"/>
    </mc:Choice>
  </mc:AlternateContent>
  <xr:revisionPtr revIDLastSave="0" documentId="13_ncr:1_{3E13178A-5D8D-47D7-8C5B-D74ECF515137}" xr6:coauthVersionLast="47" xr6:coauthVersionMax="47" xr10:uidLastSave="{00000000-0000-0000-0000-000000000000}"/>
  <bookViews>
    <workbookView xWindow="-108" yWindow="-108" windowWidth="23256" windowHeight="13896" firstSheet="2" activeTab="6" xr2:uid="{00000000-000D-0000-FFFF-FFFF00000000}"/>
  </bookViews>
  <sheets>
    <sheet name="Funcions vs Formulas" sheetId="6" r:id="rId1"/>
    <sheet name="Data Types" sheetId="7" r:id="rId2"/>
    <sheet name="Functions" sheetId="8" r:id="rId3"/>
    <sheet name="IF" sheetId="9" r:id="rId4"/>
    <sheet name="Aggregations with if" sheetId="10" r:id="rId5"/>
    <sheet name="Raw-data  (2)" sheetId="11" state="hidden" r:id="rId6"/>
    <sheet name="Raw-data " sheetId="2" r:id="rId7"/>
    <sheet name="Meta-data " sheetId="3" r:id="rId8"/>
    <sheet name="Questions" sheetId="4" r:id="rId9"/>
    <sheet name="Solve Questions" sheetId="5" r:id="rId10"/>
  </sheets>
  <definedNames>
    <definedName name="_xlnm._FilterDatabase" localSheetId="6" hidden="1">'Raw-data '!$F$4:$K$319</definedName>
    <definedName name="_xlnm._FilterDatabase" localSheetId="5" hidden="1">'Raw-data  (2)'!$F$4:$K$319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8" i="2" l="1"/>
  <c r="O36" i="2"/>
  <c r="O44" i="2"/>
  <c r="O92" i="2"/>
  <c r="O100" i="2"/>
  <c r="O108" i="2"/>
  <c r="O156" i="2"/>
  <c r="O164" i="2"/>
  <c r="O172" i="2"/>
  <c r="O220" i="2"/>
  <c r="O228" i="2"/>
  <c r="O236" i="2"/>
  <c r="O284" i="2"/>
  <c r="O292" i="2"/>
  <c r="O300" i="2"/>
  <c r="L5" i="2"/>
  <c r="O5" i="2" s="1"/>
  <c r="L6" i="2"/>
  <c r="O6" i="2" s="1"/>
  <c r="L7" i="2"/>
  <c r="O7" i="2" s="1"/>
  <c r="L8" i="2"/>
  <c r="O8" i="2" s="1"/>
  <c r="L9" i="2"/>
  <c r="O9" i="2" s="1"/>
  <c r="L10" i="2"/>
  <c r="O10" i="2" s="1"/>
  <c r="L11" i="2"/>
  <c r="O11" i="2" s="1"/>
  <c r="L12" i="2"/>
  <c r="O12" i="2" s="1"/>
  <c r="L13" i="2"/>
  <c r="O13" i="2" s="1"/>
  <c r="L14" i="2"/>
  <c r="O14" i="2" s="1"/>
  <c r="L15" i="2"/>
  <c r="O15" i="2" s="1"/>
  <c r="L16" i="2"/>
  <c r="O16" i="2" s="1"/>
  <c r="L17" i="2"/>
  <c r="O17" i="2" s="1"/>
  <c r="L18" i="2"/>
  <c r="O18" i="2" s="1"/>
  <c r="L19" i="2"/>
  <c r="O19" i="2" s="1"/>
  <c r="L20" i="2"/>
  <c r="O20" i="2" s="1"/>
  <c r="L21" i="2"/>
  <c r="O21" i="2" s="1"/>
  <c r="L22" i="2"/>
  <c r="O22" i="2" s="1"/>
  <c r="L23" i="2"/>
  <c r="O23" i="2" s="1"/>
  <c r="L24" i="2"/>
  <c r="O24" i="2" s="1"/>
  <c r="L25" i="2"/>
  <c r="O25" i="2" s="1"/>
  <c r="L26" i="2"/>
  <c r="O26" i="2" s="1"/>
  <c r="L27" i="2"/>
  <c r="O27" i="2" s="1"/>
  <c r="L28" i="2"/>
  <c r="L29" i="2"/>
  <c r="O29" i="2" s="1"/>
  <c r="L30" i="2"/>
  <c r="O30" i="2" s="1"/>
  <c r="L31" i="2"/>
  <c r="O31" i="2" s="1"/>
  <c r="L32" i="2"/>
  <c r="O32" i="2" s="1"/>
  <c r="L33" i="2"/>
  <c r="O33" i="2" s="1"/>
  <c r="L34" i="2"/>
  <c r="O34" i="2" s="1"/>
  <c r="L35" i="2"/>
  <c r="O35" i="2" s="1"/>
  <c r="L36" i="2"/>
  <c r="L37" i="2"/>
  <c r="O37" i="2" s="1"/>
  <c r="L38" i="2"/>
  <c r="O38" i="2" s="1"/>
  <c r="L39" i="2"/>
  <c r="O39" i="2" s="1"/>
  <c r="L40" i="2"/>
  <c r="O40" i="2" s="1"/>
  <c r="L41" i="2"/>
  <c r="O41" i="2" s="1"/>
  <c r="L42" i="2"/>
  <c r="O42" i="2" s="1"/>
  <c r="L43" i="2"/>
  <c r="O43" i="2" s="1"/>
  <c r="L44" i="2"/>
  <c r="L45" i="2"/>
  <c r="O45" i="2" s="1"/>
  <c r="L46" i="2"/>
  <c r="O46" i="2" s="1"/>
  <c r="L47" i="2"/>
  <c r="O47" i="2" s="1"/>
  <c r="L48" i="2"/>
  <c r="O48" i="2" s="1"/>
  <c r="L49" i="2"/>
  <c r="O49" i="2" s="1"/>
  <c r="L50" i="2"/>
  <c r="O50" i="2" s="1"/>
  <c r="L51" i="2"/>
  <c r="O51" i="2" s="1"/>
  <c r="L52" i="2"/>
  <c r="O52" i="2" s="1"/>
  <c r="L53" i="2"/>
  <c r="O53" i="2" s="1"/>
  <c r="L54" i="2"/>
  <c r="O54" i="2" s="1"/>
  <c r="L55" i="2"/>
  <c r="O55" i="2" s="1"/>
  <c r="L56" i="2"/>
  <c r="O56" i="2" s="1"/>
  <c r="L57" i="2"/>
  <c r="O57" i="2" s="1"/>
  <c r="L58" i="2"/>
  <c r="O58" i="2" s="1"/>
  <c r="L59" i="2"/>
  <c r="O59" i="2" s="1"/>
  <c r="L60" i="2"/>
  <c r="O60" i="2" s="1"/>
  <c r="L61" i="2"/>
  <c r="O61" i="2" s="1"/>
  <c r="L62" i="2"/>
  <c r="O62" i="2" s="1"/>
  <c r="L63" i="2"/>
  <c r="O63" i="2" s="1"/>
  <c r="L64" i="2"/>
  <c r="O64" i="2" s="1"/>
  <c r="L65" i="2"/>
  <c r="O65" i="2" s="1"/>
  <c r="L66" i="2"/>
  <c r="O66" i="2" s="1"/>
  <c r="L67" i="2"/>
  <c r="O67" i="2" s="1"/>
  <c r="L68" i="2"/>
  <c r="O68" i="2" s="1"/>
  <c r="L69" i="2"/>
  <c r="O69" i="2" s="1"/>
  <c r="L70" i="2"/>
  <c r="O70" i="2" s="1"/>
  <c r="L71" i="2"/>
  <c r="O71" i="2" s="1"/>
  <c r="L72" i="2"/>
  <c r="O72" i="2" s="1"/>
  <c r="L73" i="2"/>
  <c r="O73" i="2" s="1"/>
  <c r="L74" i="2"/>
  <c r="O74" i="2" s="1"/>
  <c r="L75" i="2"/>
  <c r="O75" i="2" s="1"/>
  <c r="L76" i="2"/>
  <c r="O76" i="2" s="1"/>
  <c r="L77" i="2"/>
  <c r="O77" i="2" s="1"/>
  <c r="L78" i="2"/>
  <c r="O78" i="2" s="1"/>
  <c r="L79" i="2"/>
  <c r="O79" i="2" s="1"/>
  <c r="L80" i="2"/>
  <c r="O80" i="2" s="1"/>
  <c r="L81" i="2"/>
  <c r="O81" i="2" s="1"/>
  <c r="L82" i="2"/>
  <c r="O82" i="2" s="1"/>
  <c r="L83" i="2"/>
  <c r="O83" i="2" s="1"/>
  <c r="L84" i="2"/>
  <c r="O84" i="2" s="1"/>
  <c r="L85" i="2"/>
  <c r="O85" i="2" s="1"/>
  <c r="L86" i="2"/>
  <c r="O86" i="2" s="1"/>
  <c r="L87" i="2"/>
  <c r="O87" i="2" s="1"/>
  <c r="L88" i="2"/>
  <c r="O88" i="2" s="1"/>
  <c r="L89" i="2"/>
  <c r="O89" i="2" s="1"/>
  <c r="L90" i="2"/>
  <c r="O90" i="2" s="1"/>
  <c r="L91" i="2"/>
  <c r="O91" i="2" s="1"/>
  <c r="L92" i="2"/>
  <c r="L93" i="2"/>
  <c r="O93" i="2" s="1"/>
  <c r="L94" i="2"/>
  <c r="O94" i="2" s="1"/>
  <c r="L95" i="2"/>
  <c r="O95" i="2" s="1"/>
  <c r="L96" i="2"/>
  <c r="O96" i="2" s="1"/>
  <c r="L97" i="2"/>
  <c r="O97" i="2" s="1"/>
  <c r="L98" i="2"/>
  <c r="O98" i="2" s="1"/>
  <c r="L99" i="2"/>
  <c r="O99" i="2" s="1"/>
  <c r="L100" i="2"/>
  <c r="L101" i="2"/>
  <c r="O101" i="2" s="1"/>
  <c r="L102" i="2"/>
  <c r="O102" i="2" s="1"/>
  <c r="L103" i="2"/>
  <c r="O103" i="2" s="1"/>
  <c r="L104" i="2"/>
  <c r="O104" i="2" s="1"/>
  <c r="L105" i="2"/>
  <c r="O105" i="2" s="1"/>
  <c r="L106" i="2"/>
  <c r="O106" i="2" s="1"/>
  <c r="L107" i="2"/>
  <c r="O107" i="2" s="1"/>
  <c r="L108" i="2"/>
  <c r="L109" i="2"/>
  <c r="O109" i="2" s="1"/>
  <c r="L110" i="2"/>
  <c r="O110" i="2" s="1"/>
  <c r="L111" i="2"/>
  <c r="O111" i="2" s="1"/>
  <c r="L112" i="2"/>
  <c r="O112" i="2" s="1"/>
  <c r="L113" i="2"/>
  <c r="O113" i="2" s="1"/>
  <c r="L114" i="2"/>
  <c r="O114" i="2" s="1"/>
  <c r="L115" i="2"/>
  <c r="O115" i="2" s="1"/>
  <c r="L116" i="2"/>
  <c r="O116" i="2" s="1"/>
  <c r="L117" i="2"/>
  <c r="O117" i="2" s="1"/>
  <c r="L118" i="2"/>
  <c r="O118" i="2" s="1"/>
  <c r="L119" i="2"/>
  <c r="O119" i="2" s="1"/>
  <c r="L120" i="2"/>
  <c r="O120" i="2" s="1"/>
  <c r="L121" i="2"/>
  <c r="O121" i="2" s="1"/>
  <c r="L122" i="2"/>
  <c r="O122" i="2" s="1"/>
  <c r="L123" i="2"/>
  <c r="O123" i="2" s="1"/>
  <c r="L124" i="2"/>
  <c r="O124" i="2" s="1"/>
  <c r="L125" i="2"/>
  <c r="O125" i="2" s="1"/>
  <c r="L126" i="2"/>
  <c r="O126" i="2" s="1"/>
  <c r="L127" i="2"/>
  <c r="O127" i="2" s="1"/>
  <c r="L128" i="2"/>
  <c r="O128" i="2" s="1"/>
  <c r="L129" i="2"/>
  <c r="O129" i="2" s="1"/>
  <c r="L130" i="2"/>
  <c r="O130" i="2" s="1"/>
  <c r="L131" i="2"/>
  <c r="O131" i="2" s="1"/>
  <c r="L132" i="2"/>
  <c r="O132" i="2" s="1"/>
  <c r="L133" i="2"/>
  <c r="O133" i="2" s="1"/>
  <c r="L134" i="2"/>
  <c r="O134" i="2" s="1"/>
  <c r="L135" i="2"/>
  <c r="O135" i="2" s="1"/>
  <c r="L136" i="2"/>
  <c r="O136" i="2" s="1"/>
  <c r="L137" i="2"/>
  <c r="O137" i="2" s="1"/>
  <c r="L138" i="2"/>
  <c r="O138" i="2" s="1"/>
  <c r="L139" i="2"/>
  <c r="O139" i="2" s="1"/>
  <c r="L140" i="2"/>
  <c r="O140" i="2" s="1"/>
  <c r="L141" i="2"/>
  <c r="O141" i="2" s="1"/>
  <c r="L142" i="2"/>
  <c r="O142" i="2" s="1"/>
  <c r="L143" i="2"/>
  <c r="O143" i="2" s="1"/>
  <c r="L144" i="2"/>
  <c r="O144" i="2" s="1"/>
  <c r="L145" i="2"/>
  <c r="O145" i="2" s="1"/>
  <c r="L146" i="2"/>
  <c r="O146" i="2" s="1"/>
  <c r="L147" i="2"/>
  <c r="O147" i="2" s="1"/>
  <c r="L148" i="2"/>
  <c r="O148" i="2" s="1"/>
  <c r="L149" i="2"/>
  <c r="O149" i="2" s="1"/>
  <c r="L150" i="2"/>
  <c r="O150" i="2" s="1"/>
  <c r="L151" i="2"/>
  <c r="O151" i="2" s="1"/>
  <c r="L152" i="2"/>
  <c r="O152" i="2" s="1"/>
  <c r="L153" i="2"/>
  <c r="O153" i="2" s="1"/>
  <c r="L154" i="2"/>
  <c r="O154" i="2" s="1"/>
  <c r="L155" i="2"/>
  <c r="O155" i="2" s="1"/>
  <c r="L156" i="2"/>
  <c r="L157" i="2"/>
  <c r="O157" i="2" s="1"/>
  <c r="L158" i="2"/>
  <c r="O158" i="2" s="1"/>
  <c r="L159" i="2"/>
  <c r="O159" i="2" s="1"/>
  <c r="L160" i="2"/>
  <c r="O160" i="2" s="1"/>
  <c r="L161" i="2"/>
  <c r="O161" i="2" s="1"/>
  <c r="L162" i="2"/>
  <c r="O162" i="2" s="1"/>
  <c r="L163" i="2"/>
  <c r="O163" i="2" s="1"/>
  <c r="L164" i="2"/>
  <c r="L165" i="2"/>
  <c r="O165" i="2" s="1"/>
  <c r="L166" i="2"/>
  <c r="O166" i="2" s="1"/>
  <c r="L167" i="2"/>
  <c r="O167" i="2" s="1"/>
  <c r="L168" i="2"/>
  <c r="O168" i="2" s="1"/>
  <c r="L169" i="2"/>
  <c r="O169" i="2" s="1"/>
  <c r="L170" i="2"/>
  <c r="O170" i="2" s="1"/>
  <c r="L171" i="2"/>
  <c r="O171" i="2" s="1"/>
  <c r="L172" i="2"/>
  <c r="L173" i="2"/>
  <c r="O173" i="2" s="1"/>
  <c r="L174" i="2"/>
  <c r="O174" i="2" s="1"/>
  <c r="L175" i="2"/>
  <c r="O175" i="2" s="1"/>
  <c r="L176" i="2"/>
  <c r="O176" i="2" s="1"/>
  <c r="L177" i="2"/>
  <c r="O177" i="2" s="1"/>
  <c r="L178" i="2"/>
  <c r="O178" i="2" s="1"/>
  <c r="L179" i="2"/>
  <c r="O179" i="2" s="1"/>
  <c r="L180" i="2"/>
  <c r="O180" i="2" s="1"/>
  <c r="L181" i="2"/>
  <c r="O181" i="2" s="1"/>
  <c r="L182" i="2"/>
  <c r="O182" i="2" s="1"/>
  <c r="L183" i="2"/>
  <c r="O183" i="2" s="1"/>
  <c r="L184" i="2"/>
  <c r="O184" i="2" s="1"/>
  <c r="L185" i="2"/>
  <c r="O185" i="2" s="1"/>
  <c r="L186" i="2"/>
  <c r="O186" i="2" s="1"/>
  <c r="L187" i="2"/>
  <c r="O187" i="2" s="1"/>
  <c r="L188" i="2"/>
  <c r="O188" i="2" s="1"/>
  <c r="L189" i="2"/>
  <c r="O189" i="2" s="1"/>
  <c r="L190" i="2"/>
  <c r="O190" i="2" s="1"/>
  <c r="L191" i="2"/>
  <c r="O191" i="2" s="1"/>
  <c r="L192" i="2"/>
  <c r="O192" i="2" s="1"/>
  <c r="L193" i="2"/>
  <c r="O193" i="2" s="1"/>
  <c r="L194" i="2"/>
  <c r="O194" i="2" s="1"/>
  <c r="L195" i="2"/>
  <c r="O195" i="2" s="1"/>
  <c r="L196" i="2"/>
  <c r="O196" i="2" s="1"/>
  <c r="L197" i="2"/>
  <c r="O197" i="2" s="1"/>
  <c r="L198" i="2"/>
  <c r="O198" i="2" s="1"/>
  <c r="L199" i="2"/>
  <c r="O199" i="2" s="1"/>
  <c r="L200" i="2"/>
  <c r="O200" i="2" s="1"/>
  <c r="L201" i="2"/>
  <c r="O201" i="2" s="1"/>
  <c r="L202" i="2"/>
  <c r="O202" i="2" s="1"/>
  <c r="L203" i="2"/>
  <c r="O203" i="2" s="1"/>
  <c r="L204" i="2"/>
  <c r="O204" i="2" s="1"/>
  <c r="L205" i="2"/>
  <c r="O205" i="2" s="1"/>
  <c r="L206" i="2"/>
  <c r="O206" i="2" s="1"/>
  <c r="L207" i="2"/>
  <c r="O207" i="2" s="1"/>
  <c r="L208" i="2"/>
  <c r="O208" i="2" s="1"/>
  <c r="L209" i="2"/>
  <c r="O209" i="2" s="1"/>
  <c r="L210" i="2"/>
  <c r="O210" i="2" s="1"/>
  <c r="L211" i="2"/>
  <c r="O211" i="2" s="1"/>
  <c r="L212" i="2"/>
  <c r="O212" i="2" s="1"/>
  <c r="L213" i="2"/>
  <c r="O213" i="2" s="1"/>
  <c r="L214" i="2"/>
  <c r="O214" i="2" s="1"/>
  <c r="L215" i="2"/>
  <c r="O215" i="2" s="1"/>
  <c r="L216" i="2"/>
  <c r="O216" i="2" s="1"/>
  <c r="L217" i="2"/>
  <c r="O217" i="2" s="1"/>
  <c r="L218" i="2"/>
  <c r="O218" i="2" s="1"/>
  <c r="L219" i="2"/>
  <c r="O219" i="2" s="1"/>
  <c r="L220" i="2"/>
  <c r="L221" i="2"/>
  <c r="O221" i="2" s="1"/>
  <c r="L222" i="2"/>
  <c r="O222" i="2" s="1"/>
  <c r="L223" i="2"/>
  <c r="O223" i="2" s="1"/>
  <c r="L224" i="2"/>
  <c r="O224" i="2" s="1"/>
  <c r="L225" i="2"/>
  <c r="O225" i="2" s="1"/>
  <c r="L226" i="2"/>
  <c r="O226" i="2" s="1"/>
  <c r="L227" i="2"/>
  <c r="O227" i="2" s="1"/>
  <c r="L228" i="2"/>
  <c r="L229" i="2"/>
  <c r="O229" i="2" s="1"/>
  <c r="L230" i="2"/>
  <c r="O230" i="2" s="1"/>
  <c r="L231" i="2"/>
  <c r="O231" i="2" s="1"/>
  <c r="L232" i="2"/>
  <c r="O232" i="2" s="1"/>
  <c r="L233" i="2"/>
  <c r="O233" i="2" s="1"/>
  <c r="L234" i="2"/>
  <c r="O234" i="2" s="1"/>
  <c r="L235" i="2"/>
  <c r="O235" i="2" s="1"/>
  <c r="L236" i="2"/>
  <c r="L237" i="2"/>
  <c r="O237" i="2" s="1"/>
  <c r="L238" i="2"/>
  <c r="O238" i="2" s="1"/>
  <c r="L239" i="2"/>
  <c r="O239" i="2" s="1"/>
  <c r="L240" i="2"/>
  <c r="O240" i="2" s="1"/>
  <c r="L241" i="2"/>
  <c r="O241" i="2" s="1"/>
  <c r="L242" i="2"/>
  <c r="O242" i="2" s="1"/>
  <c r="L243" i="2"/>
  <c r="O243" i="2" s="1"/>
  <c r="L244" i="2"/>
  <c r="O244" i="2" s="1"/>
  <c r="L245" i="2"/>
  <c r="O245" i="2" s="1"/>
  <c r="L246" i="2"/>
  <c r="O246" i="2" s="1"/>
  <c r="L247" i="2"/>
  <c r="O247" i="2" s="1"/>
  <c r="L248" i="2"/>
  <c r="O248" i="2" s="1"/>
  <c r="L249" i="2"/>
  <c r="O249" i="2" s="1"/>
  <c r="L250" i="2"/>
  <c r="O250" i="2" s="1"/>
  <c r="L251" i="2"/>
  <c r="O251" i="2" s="1"/>
  <c r="L252" i="2"/>
  <c r="O252" i="2" s="1"/>
  <c r="L253" i="2"/>
  <c r="O253" i="2" s="1"/>
  <c r="L254" i="2"/>
  <c r="O254" i="2" s="1"/>
  <c r="L255" i="2"/>
  <c r="O255" i="2" s="1"/>
  <c r="L256" i="2"/>
  <c r="O256" i="2" s="1"/>
  <c r="L257" i="2"/>
  <c r="O257" i="2" s="1"/>
  <c r="L258" i="2"/>
  <c r="O258" i="2" s="1"/>
  <c r="L259" i="2"/>
  <c r="O259" i="2" s="1"/>
  <c r="L260" i="2"/>
  <c r="O260" i="2" s="1"/>
  <c r="L261" i="2"/>
  <c r="O261" i="2" s="1"/>
  <c r="L262" i="2"/>
  <c r="O262" i="2" s="1"/>
  <c r="L263" i="2"/>
  <c r="O263" i="2" s="1"/>
  <c r="L264" i="2"/>
  <c r="O264" i="2" s="1"/>
  <c r="L265" i="2"/>
  <c r="O265" i="2" s="1"/>
  <c r="L266" i="2"/>
  <c r="O266" i="2" s="1"/>
  <c r="L267" i="2"/>
  <c r="O267" i="2" s="1"/>
  <c r="L268" i="2"/>
  <c r="O268" i="2" s="1"/>
  <c r="L269" i="2"/>
  <c r="O269" i="2" s="1"/>
  <c r="L270" i="2"/>
  <c r="O270" i="2" s="1"/>
  <c r="L271" i="2"/>
  <c r="O271" i="2" s="1"/>
  <c r="L272" i="2"/>
  <c r="O272" i="2" s="1"/>
  <c r="L273" i="2"/>
  <c r="O273" i="2" s="1"/>
  <c r="L274" i="2"/>
  <c r="O274" i="2" s="1"/>
  <c r="L275" i="2"/>
  <c r="O275" i="2" s="1"/>
  <c r="L276" i="2"/>
  <c r="O276" i="2" s="1"/>
  <c r="L277" i="2"/>
  <c r="O277" i="2" s="1"/>
  <c r="L278" i="2"/>
  <c r="O278" i="2" s="1"/>
  <c r="L279" i="2"/>
  <c r="O279" i="2" s="1"/>
  <c r="L280" i="2"/>
  <c r="O280" i="2" s="1"/>
  <c r="L281" i="2"/>
  <c r="O281" i="2" s="1"/>
  <c r="L282" i="2"/>
  <c r="O282" i="2" s="1"/>
  <c r="L283" i="2"/>
  <c r="O283" i="2" s="1"/>
  <c r="L284" i="2"/>
  <c r="L285" i="2"/>
  <c r="O285" i="2" s="1"/>
  <c r="L286" i="2"/>
  <c r="O286" i="2" s="1"/>
  <c r="L287" i="2"/>
  <c r="O287" i="2" s="1"/>
  <c r="L288" i="2"/>
  <c r="O288" i="2" s="1"/>
  <c r="L289" i="2"/>
  <c r="O289" i="2" s="1"/>
  <c r="L290" i="2"/>
  <c r="O290" i="2" s="1"/>
  <c r="L291" i="2"/>
  <c r="O291" i="2" s="1"/>
  <c r="L292" i="2"/>
  <c r="L293" i="2"/>
  <c r="O293" i="2" s="1"/>
  <c r="L294" i="2"/>
  <c r="O294" i="2" s="1"/>
  <c r="L295" i="2"/>
  <c r="O295" i="2" s="1"/>
  <c r="L296" i="2"/>
  <c r="O296" i="2" s="1"/>
  <c r="L297" i="2"/>
  <c r="O297" i="2" s="1"/>
  <c r="L298" i="2"/>
  <c r="O298" i="2" s="1"/>
  <c r="L299" i="2"/>
  <c r="O299" i="2" s="1"/>
  <c r="L300" i="2"/>
  <c r="L301" i="2"/>
  <c r="O301" i="2" s="1"/>
  <c r="L302" i="2"/>
  <c r="O302" i="2" s="1"/>
  <c r="L303" i="2"/>
  <c r="O303" i="2" s="1"/>
  <c r="L304" i="2"/>
  <c r="O304" i="2" s="1"/>
  <c r="L305" i="2"/>
  <c r="O305" i="2" s="1"/>
  <c r="L306" i="2"/>
  <c r="O306" i="2" s="1"/>
  <c r="L307" i="2"/>
  <c r="O307" i="2" s="1"/>
  <c r="L308" i="2"/>
  <c r="O308" i="2" s="1"/>
  <c r="L309" i="2"/>
  <c r="O309" i="2" s="1"/>
  <c r="L310" i="2"/>
  <c r="O310" i="2" s="1"/>
  <c r="L311" i="2"/>
  <c r="O311" i="2" s="1"/>
  <c r="L312" i="2"/>
  <c r="O312" i="2" s="1"/>
  <c r="L313" i="2"/>
  <c r="O313" i="2" s="1"/>
  <c r="L314" i="2"/>
  <c r="O314" i="2" s="1"/>
  <c r="L315" i="2"/>
  <c r="O315" i="2" s="1"/>
  <c r="L316" i="2"/>
  <c r="O316" i="2" s="1"/>
  <c r="L317" i="2"/>
  <c r="O317" i="2" s="1"/>
  <c r="L318" i="2"/>
  <c r="O318" i="2" s="1"/>
  <c r="L319" i="2"/>
  <c r="O319" i="2" s="1"/>
  <c r="P5" i="2" l="1"/>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Q276" i="2" s="1"/>
  <c r="P277" i="2"/>
  <c r="P278" i="2"/>
  <c r="P279" i="2"/>
  <c r="P280" i="2"/>
  <c r="P281" i="2"/>
  <c r="P282" i="2"/>
  <c r="P283" i="2"/>
  <c r="P284" i="2"/>
  <c r="Q284" i="2" s="1"/>
  <c r="P285" i="2"/>
  <c r="P286" i="2"/>
  <c r="P287" i="2"/>
  <c r="P288" i="2"/>
  <c r="P289" i="2"/>
  <c r="P290" i="2"/>
  <c r="P291" i="2"/>
  <c r="P292" i="2"/>
  <c r="Q292" i="2" s="1"/>
  <c r="P293" i="2"/>
  <c r="P294" i="2"/>
  <c r="P295" i="2"/>
  <c r="P296" i="2"/>
  <c r="P297" i="2"/>
  <c r="P298" i="2"/>
  <c r="P299" i="2"/>
  <c r="P300" i="2"/>
  <c r="Q300" i="2" s="1"/>
  <c r="P301" i="2"/>
  <c r="P302" i="2"/>
  <c r="P303" i="2"/>
  <c r="P304" i="2"/>
  <c r="P305" i="2"/>
  <c r="P306" i="2"/>
  <c r="P307" i="2"/>
  <c r="P308" i="2"/>
  <c r="Q308" i="2" s="1"/>
  <c r="P309" i="2"/>
  <c r="P310" i="2"/>
  <c r="P311" i="2"/>
  <c r="P312" i="2"/>
  <c r="P313" i="2"/>
  <c r="P314" i="2"/>
  <c r="P315" i="2"/>
  <c r="P316" i="2"/>
  <c r="Q316" i="2" s="1"/>
  <c r="P317" i="2"/>
  <c r="P318" i="2"/>
  <c r="P319"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E31" i="6"/>
  <c r="E14" i="6"/>
  <c r="Q244" i="2" l="1"/>
  <c r="Q196" i="2"/>
  <c r="Q148" i="2"/>
  <c r="Q92" i="2"/>
  <c r="Q28" i="2"/>
  <c r="Q315" i="2"/>
  <c r="Q307" i="2"/>
  <c r="Q299" i="2"/>
  <c r="Q291" i="2"/>
  <c r="Q283" i="2"/>
  <c r="Q275" i="2"/>
  <c r="Q267" i="2"/>
  <c r="Q259" i="2"/>
  <c r="Q251" i="2"/>
  <c r="Q243" i="2"/>
  <c r="Q235" i="2"/>
  <c r="Q227" i="2"/>
  <c r="Q219" i="2"/>
  <c r="Q211" i="2"/>
  <c r="Q203" i="2"/>
  <c r="Q195" i="2"/>
  <c r="Q187" i="2"/>
  <c r="Q179" i="2"/>
  <c r="Q171" i="2"/>
  <c r="Q163" i="2"/>
  <c r="Q155" i="2"/>
  <c r="Q147" i="2"/>
  <c r="Q139" i="2"/>
  <c r="Q131" i="2"/>
  <c r="Q123" i="2"/>
  <c r="Q115" i="2"/>
  <c r="Q107" i="2"/>
  <c r="Q99" i="2"/>
  <c r="Q91" i="2"/>
  <c r="Q83" i="2"/>
  <c r="Q75" i="2"/>
  <c r="Q67" i="2"/>
  <c r="Q59" i="2"/>
  <c r="Q51" i="2"/>
  <c r="Q43" i="2"/>
  <c r="Q35" i="2"/>
  <c r="Q27" i="2"/>
  <c r="Q19" i="2"/>
  <c r="Q11" i="2"/>
  <c r="Q236" i="2"/>
  <c r="Q172" i="2"/>
  <c r="Q116" i="2"/>
  <c r="Q60" i="2"/>
  <c r="Q52" i="2"/>
  <c r="Q314" i="2"/>
  <c r="Q306" i="2"/>
  <c r="Q298" i="2"/>
  <c r="Q290" i="2"/>
  <c r="Q282" i="2"/>
  <c r="Q274" i="2"/>
  <c r="Q266" i="2"/>
  <c r="Q258" i="2"/>
  <c r="Q250" i="2"/>
  <c r="Q242" i="2"/>
  <c r="Q234" i="2"/>
  <c r="Q226" i="2"/>
  <c r="Q218" i="2"/>
  <c r="Q210" i="2"/>
  <c r="Q202" i="2"/>
  <c r="Q194" i="2"/>
  <c r="Q186" i="2"/>
  <c r="Q178" i="2"/>
  <c r="Q170" i="2"/>
  <c r="Q162" i="2"/>
  <c r="Q154" i="2"/>
  <c r="Q146" i="2"/>
  <c r="Q138" i="2"/>
  <c r="Q130" i="2"/>
  <c r="Q122" i="2"/>
  <c r="Q114" i="2"/>
  <c r="Q106" i="2"/>
  <c r="Q98" i="2"/>
  <c r="Q90" i="2"/>
  <c r="Q82" i="2"/>
  <c r="Q74" i="2"/>
  <c r="Q66" i="2"/>
  <c r="Q58" i="2"/>
  <c r="Q50" i="2"/>
  <c r="Q42" i="2"/>
  <c r="Q34" i="2"/>
  <c r="Q26" i="2"/>
  <c r="Q18" i="2"/>
  <c r="Q10" i="2"/>
  <c r="Q252" i="2"/>
  <c r="Q188" i="2"/>
  <c r="Q140" i="2"/>
  <c r="Q84" i="2"/>
  <c r="Q20" i="2"/>
  <c r="Q313" i="2"/>
  <c r="Q305" i="2"/>
  <c r="Q297" i="2"/>
  <c r="Q289" i="2"/>
  <c r="Q281" i="2"/>
  <c r="Q273" i="2"/>
  <c r="Q265" i="2"/>
  <c r="Q257" i="2"/>
  <c r="Q249" i="2"/>
  <c r="Q241" i="2"/>
  <c r="Q233" i="2"/>
  <c r="Q225" i="2"/>
  <c r="Q217" i="2"/>
  <c r="Q209" i="2"/>
  <c r="Q201" i="2"/>
  <c r="Q193" i="2"/>
  <c r="Q185" i="2"/>
  <c r="Q177" i="2"/>
  <c r="Q169" i="2"/>
  <c r="Q161" i="2"/>
  <c r="Q153" i="2"/>
  <c r="Q145" i="2"/>
  <c r="Q137" i="2"/>
  <c r="Q129" i="2"/>
  <c r="Q121" i="2"/>
  <c r="Q113" i="2"/>
  <c r="Q105" i="2"/>
  <c r="Q97" i="2"/>
  <c r="Q89" i="2"/>
  <c r="Q81" i="2"/>
  <c r="Q73" i="2"/>
  <c r="Q65" i="2"/>
  <c r="Q57" i="2"/>
  <c r="Q49" i="2"/>
  <c r="Q41" i="2"/>
  <c r="Q33" i="2"/>
  <c r="Q25" i="2"/>
  <c r="Q17" i="2"/>
  <c r="Q9" i="2"/>
  <c r="Q228" i="2"/>
  <c r="Q180" i="2"/>
  <c r="Q124" i="2"/>
  <c r="Q68" i="2"/>
  <c r="Q44" i="2"/>
  <c r="Q312" i="2"/>
  <c r="Q304" i="2"/>
  <c r="Q296" i="2"/>
  <c r="Q288" i="2"/>
  <c r="Q280" i="2"/>
  <c r="Q272" i="2"/>
  <c r="Q264" i="2"/>
  <c r="Q256" i="2"/>
  <c r="Q248" i="2"/>
  <c r="Q240" i="2"/>
  <c r="Q232" i="2"/>
  <c r="Q224" i="2"/>
  <c r="Q216" i="2"/>
  <c r="Q208" i="2"/>
  <c r="Q200" i="2"/>
  <c r="Q192" i="2"/>
  <c r="Q184" i="2"/>
  <c r="Q176" i="2"/>
  <c r="Q168" i="2"/>
  <c r="Q160" i="2"/>
  <c r="Q152" i="2"/>
  <c r="Q144" i="2"/>
  <c r="Q136" i="2"/>
  <c r="Q128" i="2"/>
  <c r="Q120" i="2"/>
  <c r="Q112" i="2"/>
  <c r="Q104" i="2"/>
  <c r="Q96" i="2"/>
  <c r="Q88" i="2"/>
  <c r="Q80" i="2"/>
  <c r="Q72" i="2"/>
  <c r="Q64" i="2"/>
  <c r="Q56" i="2"/>
  <c r="Q48" i="2"/>
  <c r="Q40" i="2"/>
  <c r="Q32" i="2"/>
  <c r="Q24" i="2"/>
  <c r="Q16" i="2"/>
  <c r="Q8" i="2"/>
  <c r="Q220" i="2"/>
  <c r="Q164" i="2"/>
  <c r="Q132" i="2"/>
  <c r="Q76" i="2"/>
  <c r="Q12" i="2"/>
  <c r="Q319" i="2"/>
  <c r="Q311" i="2"/>
  <c r="Q303" i="2"/>
  <c r="Q295" i="2"/>
  <c r="Q287" i="2"/>
  <c r="Q279" i="2"/>
  <c r="Q271" i="2"/>
  <c r="Q263" i="2"/>
  <c r="Q255" i="2"/>
  <c r="Q247" i="2"/>
  <c r="Q239" i="2"/>
  <c r="Q231" i="2"/>
  <c r="Q223" i="2"/>
  <c r="Q215" i="2"/>
  <c r="Q207" i="2"/>
  <c r="Q199" i="2"/>
  <c r="Q191" i="2"/>
  <c r="Q183" i="2"/>
  <c r="Q175" i="2"/>
  <c r="Q167" i="2"/>
  <c r="Q159" i="2"/>
  <c r="Q151" i="2"/>
  <c r="Q143" i="2"/>
  <c r="Q135" i="2"/>
  <c r="Q127" i="2"/>
  <c r="Q119" i="2"/>
  <c r="Q111" i="2"/>
  <c r="Q103" i="2"/>
  <c r="Q95" i="2"/>
  <c r="Q87" i="2"/>
  <c r="Q79" i="2"/>
  <c r="Q71" i="2"/>
  <c r="Q63" i="2"/>
  <c r="Q55" i="2"/>
  <c r="Q47" i="2"/>
  <c r="Q39" i="2"/>
  <c r="Q31" i="2"/>
  <c r="Q23" i="2"/>
  <c r="Q15" i="2"/>
  <c r="Q7" i="2"/>
  <c r="Q268" i="2"/>
  <c r="Q212" i="2"/>
  <c r="Q156" i="2"/>
  <c r="Q108" i="2"/>
  <c r="Q36" i="2"/>
  <c r="Q318" i="2"/>
  <c r="Q310" i="2"/>
  <c r="Q302" i="2"/>
  <c r="Q294" i="2"/>
  <c r="Q286" i="2"/>
  <c r="Q278" i="2"/>
  <c r="Q270" i="2"/>
  <c r="Q262" i="2"/>
  <c r="Q254" i="2"/>
  <c r="Q246" i="2"/>
  <c r="Q238" i="2"/>
  <c r="Q230" i="2"/>
  <c r="Q222" i="2"/>
  <c r="Q214" i="2"/>
  <c r="Q206" i="2"/>
  <c r="Q198" i="2"/>
  <c r="Q190" i="2"/>
  <c r="Q182" i="2"/>
  <c r="Q174" i="2"/>
  <c r="Q166" i="2"/>
  <c r="Q158" i="2"/>
  <c r="Q150" i="2"/>
  <c r="Q142" i="2"/>
  <c r="Q134" i="2"/>
  <c r="Q126" i="2"/>
  <c r="Q118" i="2"/>
  <c r="Q110" i="2"/>
  <c r="Q102" i="2"/>
  <c r="Q94" i="2"/>
  <c r="Q86" i="2"/>
  <c r="Q78" i="2"/>
  <c r="Q70" i="2"/>
  <c r="Q62" i="2"/>
  <c r="Q54" i="2"/>
  <c r="Q46" i="2"/>
  <c r="Q38" i="2"/>
  <c r="Q30" i="2"/>
  <c r="Q22" i="2"/>
  <c r="Q14" i="2"/>
  <c r="Q6" i="2"/>
  <c r="Q260" i="2"/>
  <c r="Q204" i="2"/>
  <c r="Q100" i="2"/>
  <c r="Q317" i="2"/>
  <c r="Q309" i="2"/>
  <c r="Q301" i="2"/>
  <c r="Q293" i="2"/>
  <c r="Q285" i="2"/>
  <c r="Q277" i="2"/>
  <c r="Q269" i="2"/>
  <c r="Q261" i="2"/>
  <c r="Q253" i="2"/>
  <c r="Q245" i="2"/>
  <c r="Q237" i="2"/>
  <c r="Q229" i="2"/>
  <c r="Q221" i="2"/>
  <c r="Q213" i="2"/>
  <c r="Q205" i="2"/>
  <c r="Q197" i="2"/>
  <c r="Q189" i="2"/>
  <c r="Q181" i="2"/>
  <c r="Q173" i="2"/>
  <c r="Q165" i="2"/>
  <c r="Q157" i="2"/>
  <c r="Q149" i="2"/>
  <c r="Q141" i="2"/>
  <c r="Q133" i="2"/>
  <c r="Q125" i="2"/>
  <c r="Q117" i="2"/>
  <c r="Q109" i="2"/>
  <c r="Q101" i="2"/>
  <c r="Q93" i="2"/>
  <c r="Q85" i="2"/>
  <c r="Q77" i="2"/>
  <c r="Q69" i="2"/>
  <c r="Q61" i="2"/>
  <c r="Q53" i="2"/>
  <c r="Q45" i="2"/>
  <c r="Q37" i="2"/>
  <c r="Q29" i="2"/>
  <c r="Q21" i="2"/>
  <c r="Q13" i="2"/>
  <c r="Q5" i="2"/>
</calcChain>
</file>

<file path=xl/sharedStrings.xml><?xml version="1.0" encoding="utf-8"?>
<sst xmlns="http://schemas.openxmlformats.org/spreadsheetml/2006/main" count="2026" uniqueCount="85">
  <si>
    <t>Product</t>
  </si>
  <si>
    <t>Amount</t>
  </si>
  <si>
    <t>Almond Choco</t>
  </si>
  <si>
    <t>Husein Augar</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</si>
  <si>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</si>
  <si>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</si>
  <si>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</si>
  <si>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</si>
  <si>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</si>
  <si>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</si>
  <si>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</si>
  <si>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</si>
  <si>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</si>
  <si>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</si>
  <si>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</si>
  <si>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</si>
  <si>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</si>
  <si>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</si>
  <si>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</si>
  <si>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</si>
  <si>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</si>
  <si>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</si>
  <si>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</si>
  <si>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</si>
  <si>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</si>
  <si>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</si>
  <si>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</si>
  <si>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Units</t>
  </si>
  <si>
    <t>Mohamed Ali</t>
  </si>
  <si>
    <t xml:space="preserve">Ahmed said </t>
  </si>
  <si>
    <t xml:space="preserve">Samira mostafa </t>
  </si>
  <si>
    <t xml:space="preserve">Sara khaled </t>
  </si>
  <si>
    <t xml:space="preserve">Hassan ahmed </t>
  </si>
  <si>
    <t xml:space="preserve">Hesham gamal </t>
  </si>
  <si>
    <t>Mohamed galal</t>
  </si>
  <si>
    <t xml:space="preserve">Abd alrahman mohamed </t>
  </si>
  <si>
    <t xml:space="preserve">Rahma mostafa </t>
  </si>
  <si>
    <t xml:space="preserve">Alex </t>
  </si>
  <si>
    <t>Cairo</t>
  </si>
  <si>
    <t xml:space="preserve">Sharm </t>
  </si>
  <si>
    <t xml:space="preserve">Al Gharbia </t>
  </si>
  <si>
    <t>gharbia</t>
  </si>
  <si>
    <t xml:space="preserve">  Al gharbia </t>
  </si>
  <si>
    <t xml:space="preserve">Giza </t>
  </si>
  <si>
    <t xml:space="preserve">Al giza </t>
  </si>
  <si>
    <t xml:space="preserve">Al sharqia </t>
  </si>
  <si>
    <t xml:space="preserve">Order date </t>
  </si>
  <si>
    <t>Order-ID</t>
  </si>
  <si>
    <t xml:space="preserve">The Meta-data </t>
  </si>
  <si>
    <t xml:space="preserve">We ask you as a data analyst to analyze our data in 2023 to clearifiy our sales performance to ensure that our business decisions enhance our business growth. </t>
  </si>
  <si>
    <t xml:space="preserve">Columns description </t>
  </si>
  <si>
    <t>The order identifier that represnts every (record-row) to ensure that every row is unique.</t>
  </si>
  <si>
    <t xml:space="preserve">The name of the person who is responsible of the selling operation . </t>
  </si>
  <si>
    <t xml:space="preserve">The region at which we sold our product. </t>
  </si>
  <si>
    <t>The name of our product .</t>
  </si>
  <si>
    <t>The price of each unit.</t>
  </si>
  <si>
    <t xml:space="preserve">The quantity of the sold products. </t>
  </si>
  <si>
    <t xml:space="preserve">The date of the selling operation ( Delievering date ) . </t>
  </si>
  <si>
    <t xml:space="preserve">We are a leading company in producing chocolates we had achieved some business goals at the last 3 years. </t>
  </si>
  <si>
    <t>What is the total sales per region ?</t>
  </si>
  <si>
    <t>What is the total sales per product ?</t>
  </si>
  <si>
    <t xml:space="preserve">What is the unit sold per product ? </t>
  </si>
  <si>
    <t>What is the total sales per month ?</t>
  </si>
  <si>
    <t>What is the total sales per person?</t>
  </si>
  <si>
    <t xml:space="preserve">What is the total sales for 23 ? </t>
  </si>
  <si>
    <t>What is the total order per person ?</t>
  </si>
  <si>
    <t xml:space="preserve">What is the total order per month ? </t>
  </si>
  <si>
    <t>What is the total unit sold per region ?</t>
  </si>
  <si>
    <t>Please help us to know the total sales for each month and tell us what the lowest and heights months in total sales is.</t>
  </si>
  <si>
    <t xml:space="preserve">We need from you to classify our data based on total seals, so if the total sale value of each cell greater than the average of whole total sale column, classify it with level 1 otherwise make it 0. </t>
  </si>
  <si>
    <t xml:space="preserve">Over all Total Sales </t>
  </si>
  <si>
    <t>How many sale persone we have?</t>
  </si>
  <si>
    <t>How many regions we located?</t>
  </si>
  <si>
    <t>How many products we have?</t>
  </si>
  <si>
    <t>What is the average of units?</t>
  </si>
  <si>
    <t>What is the total number of orders?</t>
  </si>
  <si>
    <t>Questions</t>
  </si>
  <si>
    <t>Solve the problems</t>
  </si>
  <si>
    <t>save all transactions for each geography in individual sheet and sort the results in descending order by the total sales.</t>
  </si>
  <si>
    <t>Month Name</t>
  </si>
  <si>
    <t>Day Name</t>
  </si>
  <si>
    <t>Total Sales</t>
  </si>
  <si>
    <t>Quarter</t>
  </si>
  <si>
    <t>Month</t>
  </si>
  <si>
    <t>Sales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</si>
</sst>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9" formatCode="_(* #,##0_);_(* \(#,##0\);_(* &quot;-&quot;??_);_(@_)"/>
  </numFmts>
  <fonts count="7" x14ac:knownFonts="1">
    <font>
      <sz val="11"/>
      <color theme="1"/>
      <name val="Calibri"/>
      <family val="2"/>
      <scheme val="minor"/>
    </font>
    <font>
      <sz val="16"/>
      <color theme="5" tint="-0.499984740745262"/>
      <name val="Calibri"/>
      <family val="2"/>
      <scheme val="minor"/>
    </font>
    <font>
      <sz val="14"/>
      <color theme="1"/>
      <name val="Calibri"/>
      <family val="2"/>
      <scheme val="minor"/>
    </font>
    <font>
      <b/>
      <sz val="16"/>
      <color rgb="FFC00000"/>
      <name val="Calibri"/>
      <family val="2"/>
      <scheme val="minor"/>
    </font>
    <font>
      <sz val="16"/>
      <color theme="1"/>
      <name val="Calibri"/>
      <family val="2"/>
      <scheme val="minor"/>
    </font>
    <font>
      <sz val="28"/>
      <color rgb="FFC00000"/>
      <name val="Calibri"/>
      <family val="2"/>
      <scheme val="minor"/>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6" fillId="0" borderId="0" applyFont="0" applyFill="0" applyBorder="0" applyAlignment="0" applyProtection="0"/>
  </cellStyleXfs>
  <cellXfs count="14">
    <xf numFmtId="0" fontId="0" fillId="0" borderId="0" xfId="0"/>
    <xf numFmtId="0" fontId="1" fillId="2" borderId="0" xfId="0" applyFont="1" applyFill="1"/>
    <xf numFmtId="0" fontId="0" fillId="2" borderId="0" xfId="0" applyFill="1"/>
    <xf numFmtId="0" fontId="2" fillId="2" borderId="0" xfId="0" applyFont="1" applyFill="1"/>
    <xf numFmtId="2" fontId="0" fillId="0" borderId="0" xfId="0" applyNumberFormat="1"/>
    <xf numFmtId="0" fontId="3" fillId="0" borderId="0" xfId="0" applyFont="1" applyAlignment="1">
      <alignment horizontal="center" vertical="center"/>
    </xf>
    <xf numFmtId="0" fontId="4" fillId="2" borderId="2" xfId="0" applyFont="1" applyFill="1" applyBorder="1" applyAlignment="1">
      <alignment horizontal="center" vertical="center"/>
    </xf>
    <xf numFmtId="0" fontId="2" fillId="0" borderId="0" xfId="0" applyFont="1"/>
    <xf numFmtId="0" fontId="0" fillId="3" borderId="1" xfId="0" applyFill="1" applyBorder="1" applyAlignment="1">
      <alignment horizontal="center"/>
    </xf>
    <xf numFmtId="0" fontId="5" fillId="3" borderId="0" xfId="0" applyFont="1" applyFill="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169" fontId="0" fillId="0" borderId="0" xfId="1" applyNumberFormat="1" applyFont="1" applyAlignment="1">
      <alignment horizontal="center" vertical="center"/>
    </xf>
    <xf numFmtId="0" fontId="0" fillId="0" borderId="0" xfId="0" applyNumberFormat="1" applyAlignment="1">
      <alignment horizontal="center" vertical="center"/>
    </xf>
  </cellXfs>
  <cellStyles count="2">
    <cellStyle name="Comma" xfId="1" builtinId="3"/>
    <cellStyle name="Normal" xfId="0" builtinId="0"/>
  </cellStyles>
  <dxfs count="18">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169" formatCode="_(* #,##0_);_(* \(#,##0\);_(* &quot;-&quot;??_);_(@_)"/>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4.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75942</xdr:colOff>
      <xdr:row>1</xdr:row>
      <xdr:rowOff>75189</xdr:rowOff>
    </xdr:from>
    <xdr:to>
      <xdr:col>8</xdr:col>
      <xdr:colOff>525780</xdr:colOff>
      <xdr:row>10</xdr:row>
      <xdr:rowOff>51107</xdr:rowOff>
    </xdr:to>
    <xdr:pic>
      <xdr:nvPicPr>
        <xdr:cNvPr id="2" name="Picture 1">
          <a:extLst>
            <a:ext uri="{FF2B5EF4-FFF2-40B4-BE49-F238E27FC236}">
              <a16:creationId xmlns:a16="http://schemas.microsoft.com/office/drawing/2014/main" id="{EEC230EA-F116-BCA7-76CF-F47AAA75AE6C}"/>
            </a:ext>
          </a:extLst>
        </xdr:cNvPr>
        <xdr:cNvPicPr>
          <a:picLocks noChangeAspect="1"/>
        </xdr:cNvPicPr>
      </xdr:nvPicPr>
      <xdr:blipFill>
        <a:blip xmlns:r="http://schemas.openxmlformats.org/officeDocument/2006/relationships" r:embed="rId1"/>
        <a:stretch>
          <a:fillRect/>
        </a:stretch>
      </xdr:blipFill>
      <xdr:spPr>
        <a:xfrm>
          <a:off x="685542" y="258069"/>
          <a:ext cx="4717038" cy="1621838"/>
        </a:xfrm>
        <a:prstGeom prst="rect">
          <a:avLst/>
        </a:prstGeom>
      </xdr:spPr>
    </xdr:pic>
    <xdr:clientData/>
  </xdr:twoCellAnchor>
  <xdr:twoCellAnchor>
    <xdr:from>
      <xdr:col>9</xdr:col>
      <xdr:colOff>363606</xdr:colOff>
      <xdr:row>1</xdr:row>
      <xdr:rowOff>144780</xdr:rowOff>
    </xdr:from>
    <xdr:to>
      <xdr:col>22</xdr:col>
      <xdr:colOff>424566</xdr:colOff>
      <xdr:row>19</xdr:row>
      <xdr:rowOff>160020</xdr:rowOff>
    </xdr:to>
    <xdr:sp macro="" textlink="">
      <xdr:nvSpPr>
        <xdr:cNvPr id="3" name="TextBox 2">
          <a:extLst>
            <a:ext uri="{FF2B5EF4-FFF2-40B4-BE49-F238E27FC236}">
              <a16:creationId xmlns:a16="http://schemas.microsoft.com/office/drawing/2014/main" id="{2BD4B3DB-2DF5-51A1-58CB-3EBC92AE3625}"/>
            </a:ext>
          </a:extLst>
        </xdr:cNvPr>
        <xdr:cNvSpPr txBox="1"/>
      </xdr:nvSpPr>
      <xdr:spPr>
        <a:xfrm>
          <a:off x="5850006" y="329837"/>
          <a:ext cx="7985760" cy="3476897"/>
        </a:xfrm>
        <a:prstGeom prst="roundRect">
          <a:avLst/>
        </a:prstGeom>
        <a:solidFill>
          <a:schemeClr val="lt1"/>
        </a:solidFill>
        <a:ln w="9525" cmpd="sng">
          <a:solidFill>
            <a:srgbClr val="0070C0"/>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lgn="r" rtl="1"/>
          <a:r>
            <a:rPr lang="en-US" sz="2000" b="1"/>
            <a:t> Formula</a:t>
          </a:r>
          <a:r>
            <a:rPr lang="ar-SA" sz="2000" b="1"/>
            <a:t>المعادلة</a:t>
          </a:r>
          <a:r>
            <a:rPr lang="en-US" sz="2000" b="1" baseline="0"/>
            <a:t> </a:t>
          </a:r>
        </a:p>
        <a:p>
          <a:pPr lvl="1" algn="r" rtl="1"/>
          <a:endParaRPr lang="en-US" sz="2000" b="1"/>
        </a:p>
        <a:p>
          <a:pPr lvl="1" algn="r" rtl="1"/>
          <a:r>
            <a:rPr lang="ar-SA" sz="2000" b="1"/>
            <a:t>التعريف:</a:t>
          </a:r>
          <a:r>
            <a:rPr lang="ar-SA" sz="2000"/>
            <a:t> المعادلة في </a:t>
          </a:r>
          <a:r>
            <a:rPr lang="en-US" sz="2000"/>
            <a:t>Excel </a:t>
          </a:r>
          <a:r>
            <a:rPr lang="ar-SA" sz="2000"/>
            <a:t>هي تعبير رياضي أو منطقي بيستخدم لتنفيذ عمليات حسابية أو منطقية على البيانات في الخلايا.</a:t>
          </a:r>
          <a:endParaRPr lang="en-US" sz="2000"/>
        </a:p>
        <a:p>
          <a:pPr lvl="1" algn="r" rtl="1"/>
          <a:endParaRPr lang="ar-SA" sz="2000"/>
        </a:p>
        <a:p>
          <a:pPr lvl="1" algn="r" rtl="1"/>
          <a:r>
            <a:rPr lang="ar-SA" sz="2000" b="1"/>
            <a:t>التكوين:</a:t>
          </a:r>
          <a:r>
            <a:rPr lang="ar-SA" sz="2000"/>
            <a:t> المعادلة بتبدأ دايمًا بعلامة يساوي (=)، وبتستخدم عوامل حسابية (زي +, -, *, /) أو منطقية (زي &gt;, &lt;, =) لتحليل البيانات.</a:t>
          </a:r>
          <a:endParaRPr lang="en-US" sz="2000"/>
        </a:p>
        <a:p>
          <a:pPr lvl="1" algn="r" rtl="1"/>
          <a:endParaRPr lang="ar-SA" sz="2000"/>
        </a:p>
        <a:p>
          <a:pPr lvl="1" algn="r" rtl="1"/>
          <a:r>
            <a:rPr lang="ar-SA" sz="2000" b="1"/>
            <a:t>المثال:</a:t>
          </a:r>
          <a:r>
            <a:rPr lang="ar-SA" sz="2000"/>
            <a:t> لو عايز تجمع محتويات خليتين، ممكن تكتب معادلة زي:</a:t>
          </a:r>
        </a:p>
        <a:p>
          <a:pPr lvl="1" algn="r" rtl="1"/>
          <a:endParaRPr lang="en-US" sz="2000"/>
        </a:p>
      </xdr:txBody>
    </xdr:sp>
    <xdr:clientData/>
  </xdr:twoCellAnchor>
  <xdr:twoCellAnchor>
    <xdr:from>
      <xdr:col>5</xdr:col>
      <xdr:colOff>274320</xdr:colOff>
      <xdr:row>13</xdr:row>
      <xdr:rowOff>160020</xdr:rowOff>
    </xdr:from>
    <xdr:to>
      <xdr:col>12</xdr:col>
      <xdr:colOff>441960</xdr:colOff>
      <xdr:row>16</xdr:row>
      <xdr:rowOff>22860</xdr:rowOff>
    </xdr:to>
    <xdr:cxnSp macro="">
      <xdr:nvCxnSpPr>
        <xdr:cNvPr id="5" name="Straight Arrow Connector 4">
          <a:extLst>
            <a:ext uri="{FF2B5EF4-FFF2-40B4-BE49-F238E27FC236}">
              <a16:creationId xmlns:a16="http://schemas.microsoft.com/office/drawing/2014/main" id="{0A9F258E-A4DB-8A00-34DF-CE49DD6DB954}"/>
            </a:ext>
          </a:extLst>
        </xdr:cNvPr>
        <xdr:cNvCxnSpPr/>
      </xdr:nvCxnSpPr>
      <xdr:spPr>
        <a:xfrm flipH="1" flipV="1">
          <a:off x="3322320" y="2490844"/>
          <a:ext cx="4434840" cy="5620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363606</xdr:colOff>
      <xdr:row>23</xdr:row>
      <xdr:rowOff>213</xdr:rowOff>
    </xdr:from>
    <xdr:to>
      <xdr:col>22</xdr:col>
      <xdr:colOff>424566</xdr:colOff>
      <xdr:row>44</xdr:row>
      <xdr:rowOff>152400</xdr:rowOff>
    </xdr:to>
    <xdr:sp macro="" textlink="">
      <xdr:nvSpPr>
        <xdr:cNvPr id="7" name="TextBox 6">
          <a:extLst>
            <a:ext uri="{FF2B5EF4-FFF2-40B4-BE49-F238E27FC236}">
              <a16:creationId xmlns:a16="http://schemas.microsoft.com/office/drawing/2014/main" id="{291D7D09-43C9-40C4-90D5-A03C502D8A3C}"/>
            </a:ext>
          </a:extLst>
        </xdr:cNvPr>
        <xdr:cNvSpPr txBox="1"/>
      </xdr:nvSpPr>
      <xdr:spPr>
        <a:xfrm>
          <a:off x="5850006" y="4387156"/>
          <a:ext cx="7985760" cy="4125473"/>
        </a:xfrm>
        <a:prstGeom prst="roundRect">
          <a:avLst/>
        </a:prstGeom>
        <a:solidFill>
          <a:schemeClr val="lt1"/>
        </a:solidFill>
        <a:ln w="9525" cmpd="sng">
          <a:solidFill>
            <a:srgbClr val="0070C0"/>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en-US" sz="2000" b="0">
              <a:solidFill>
                <a:schemeClr val="dk1"/>
              </a:solidFill>
              <a:latin typeface="+mn-lt"/>
              <a:ea typeface="+mn-ea"/>
              <a:cs typeface="+mn-cs"/>
            </a:rPr>
            <a:t>Function </a:t>
          </a:r>
          <a:r>
            <a:rPr lang="ar-SA" sz="2000" b="0">
              <a:solidFill>
                <a:schemeClr val="dk1"/>
              </a:solidFill>
              <a:latin typeface="+mn-lt"/>
              <a:ea typeface="+mn-ea"/>
              <a:cs typeface="+mn-cs"/>
            </a:rPr>
            <a:t>الدالة</a:t>
          </a:r>
        </a:p>
        <a:p>
          <a:pPr marL="457200" lvl="1" indent="0" algn="r" rtl="1">
            <a:buFont typeface="Arial" panose="020B0604020202020204" pitchFamily="34" charset="0"/>
            <a:buChar char="•"/>
          </a:pPr>
          <a:endParaRPr lang="en-US" sz="2000" b="0">
            <a:solidFill>
              <a:schemeClr val="dk1"/>
            </a:solidFill>
            <a:latin typeface="+mn-lt"/>
            <a:ea typeface="+mn-ea"/>
            <a:cs typeface="+mn-cs"/>
          </a:endParaRPr>
        </a:p>
        <a:p>
          <a:pPr marL="457200" lvl="1" indent="0" algn="r" rtl="1">
            <a:buFont typeface="Arial" panose="020B0604020202020204" pitchFamily="34" charset="0"/>
            <a:buChar char="•"/>
          </a:pPr>
          <a:r>
            <a:rPr lang="ar-SA" sz="2000" b="0">
              <a:solidFill>
                <a:schemeClr val="dk1"/>
              </a:solidFill>
              <a:latin typeface="+mn-lt"/>
              <a:ea typeface="+mn-ea"/>
              <a:cs typeface="+mn-cs"/>
            </a:rPr>
            <a:t>التعريف: الدالة في </a:t>
          </a:r>
          <a:r>
            <a:rPr lang="en-US" sz="2000" b="0">
              <a:solidFill>
                <a:schemeClr val="dk1"/>
              </a:solidFill>
              <a:latin typeface="+mn-lt"/>
              <a:ea typeface="+mn-ea"/>
              <a:cs typeface="+mn-cs"/>
            </a:rPr>
            <a:t>Excel </a:t>
          </a:r>
          <a:r>
            <a:rPr lang="ar-SA" sz="2000" b="0">
              <a:solidFill>
                <a:schemeClr val="dk1"/>
              </a:solidFill>
              <a:latin typeface="+mn-lt"/>
              <a:ea typeface="+mn-ea"/>
              <a:cs typeface="+mn-cs"/>
            </a:rPr>
            <a:t>هي صيغة مضمنة مسبقًا (</a:t>
          </a:r>
          <a:r>
            <a:rPr lang="en-US" sz="2000" b="0">
              <a:solidFill>
                <a:schemeClr val="dk1"/>
              </a:solidFill>
              <a:latin typeface="+mn-lt"/>
              <a:ea typeface="+mn-ea"/>
              <a:cs typeface="+mn-cs"/>
            </a:rPr>
            <a:t>built-in) </a:t>
          </a:r>
          <a:r>
            <a:rPr lang="ar-SA" sz="2000" b="0">
              <a:solidFill>
                <a:schemeClr val="dk1"/>
              </a:solidFill>
              <a:latin typeface="+mn-lt"/>
              <a:ea typeface="+mn-ea"/>
              <a:cs typeface="+mn-cs"/>
            </a:rPr>
            <a:t>تم تصميمها لتنفيذ عملية محددة. الدوال بتسهل عليك القيام بالعمليات المعقدة بدون الحاجة لكتابة معادلات طويلة.</a:t>
          </a:r>
        </a:p>
        <a:p>
          <a:pPr marL="457200" lvl="1" indent="0" algn="r" rtl="1">
            <a:buFont typeface="Arial" panose="020B0604020202020204" pitchFamily="34" charset="0"/>
            <a:buChar char="•"/>
          </a:pPr>
          <a:endParaRPr lang="en-US" sz="2000" b="0">
            <a:solidFill>
              <a:schemeClr val="dk1"/>
            </a:solidFill>
            <a:latin typeface="+mn-lt"/>
            <a:ea typeface="+mn-ea"/>
            <a:cs typeface="+mn-cs"/>
          </a:endParaRPr>
        </a:p>
        <a:p>
          <a:pPr marL="457200" lvl="1" indent="0" algn="r" rtl="1">
            <a:buFont typeface="Arial" panose="020B0604020202020204" pitchFamily="34" charset="0"/>
            <a:buChar char="•"/>
          </a:pPr>
          <a:r>
            <a:rPr lang="ar-SA" sz="2000" b="0">
              <a:solidFill>
                <a:schemeClr val="dk1"/>
              </a:solidFill>
              <a:latin typeface="+mn-lt"/>
              <a:ea typeface="+mn-ea"/>
              <a:cs typeface="+mn-cs"/>
            </a:rPr>
            <a:t>التكوين: الدالة بتيجي باسم محدد بيتبعه قوسين، وفي بعض الأحيان بيكون جوا الأقواس ديه وسائط (</a:t>
          </a:r>
          <a:r>
            <a:rPr lang="en-US" sz="2000" b="0">
              <a:solidFill>
                <a:schemeClr val="dk1"/>
              </a:solidFill>
              <a:latin typeface="+mn-lt"/>
              <a:ea typeface="+mn-ea"/>
              <a:cs typeface="+mn-cs"/>
            </a:rPr>
            <a:t>arguments) </a:t>
          </a:r>
          <a:r>
            <a:rPr lang="ar-SA" sz="2000" b="0">
              <a:solidFill>
                <a:schemeClr val="dk1"/>
              </a:solidFill>
              <a:latin typeface="+mn-lt"/>
              <a:ea typeface="+mn-ea"/>
              <a:cs typeface="+mn-cs"/>
            </a:rPr>
            <a:t>اللي بتحدد البيانات اللي هتشتغل عليها الدالة.</a:t>
          </a:r>
        </a:p>
        <a:p>
          <a:pPr marL="457200" lvl="1" indent="0" algn="r" rtl="1">
            <a:buFont typeface="Arial" panose="020B0604020202020204" pitchFamily="34" charset="0"/>
            <a:buChar char="•"/>
          </a:pPr>
          <a:endParaRPr lang="en-US" sz="2000" b="0">
            <a:solidFill>
              <a:schemeClr val="dk1"/>
            </a:solidFill>
            <a:latin typeface="+mn-lt"/>
            <a:ea typeface="+mn-ea"/>
            <a:cs typeface="+mn-cs"/>
          </a:endParaRPr>
        </a:p>
        <a:p>
          <a:pPr marL="457200" lvl="1" indent="0" algn="r" rtl="1">
            <a:buFont typeface="Arial" panose="020B0604020202020204" pitchFamily="34" charset="0"/>
            <a:buChar char="•"/>
          </a:pPr>
          <a:r>
            <a:rPr lang="ar-SA" sz="2000" b="0">
              <a:solidFill>
                <a:schemeClr val="dk1"/>
              </a:solidFill>
              <a:latin typeface="+mn-lt"/>
              <a:ea typeface="+mn-ea"/>
              <a:cs typeface="+mn-cs"/>
            </a:rPr>
            <a:t>المثال: لو عايز تحسب المتوسط الحسابي لمجموعة من الأرقام، ممكن تستخدم الدالة </a:t>
          </a:r>
          <a:r>
            <a:rPr lang="en-US" sz="2000" b="0">
              <a:solidFill>
                <a:schemeClr val="dk1"/>
              </a:solidFill>
              <a:latin typeface="+mn-lt"/>
              <a:ea typeface="+mn-ea"/>
              <a:cs typeface="+mn-cs"/>
            </a:rPr>
            <a:t>AVERAGE:</a:t>
          </a:r>
        </a:p>
      </xdr:txBody>
    </xdr:sp>
    <xdr:clientData/>
  </xdr:twoCellAnchor>
  <xdr:twoCellAnchor>
    <xdr:from>
      <xdr:col>5</xdr:col>
      <xdr:colOff>277906</xdr:colOff>
      <xdr:row>30</xdr:row>
      <xdr:rowOff>206189</xdr:rowOff>
    </xdr:from>
    <xdr:to>
      <xdr:col>10</xdr:col>
      <xdr:colOff>188259</xdr:colOff>
      <xdr:row>39</xdr:row>
      <xdr:rowOff>143435</xdr:rowOff>
    </xdr:to>
    <xdr:cxnSp macro="">
      <xdr:nvCxnSpPr>
        <xdr:cNvPr id="8" name="Straight Arrow Connector 7">
          <a:extLst>
            <a:ext uri="{FF2B5EF4-FFF2-40B4-BE49-F238E27FC236}">
              <a16:creationId xmlns:a16="http://schemas.microsoft.com/office/drawing/2014/main" id="{342B980E-540C-6F67-0BC2-8FE561CEBA7B}"/>
            </a:ext>
          </a:extLst>
        </xdr:cNvPr>
        <xdr:cNvCxnSpPr/>
      </xdr:nvCxnSpPr>
      <xdr:spPr>
        <a:xfrm flipH="1" flipV="1">
          <a:off x="3325906" y="5800165"/>
          <a:ext cx="2958353" cy="160468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228600</xdr:colOff>
      <xdr:row>48</xdr:row>
      <xdr:rowOff>26893</xdr:rowOff>
    </xdr:from>
    <xdr:to>
      <xdr:col>22</xdr:col>
      <xdr:colOff>419549</xdr:colOff>
      <xdr:row>78</xdr:row>
      <xdr:rowOff>0</xdr:rowOff>
    </xdr:to>
    <xdr:sp macro="" textlink="">
      <xdr:nvSpPr>
        <xdr:cNvPr id="13" name="TextBox 12">
          <a:extLst>
            <a:ext uri="{FF2B5EF4-FFF2-40B4-BE49-F238E27FC236}">
              <a16:creationId xmlns:a16="http://schemas.microsoft.com/office/drawing/2014/main" id="{F1B30E92-E04E-4E69-8157-95BBC623F58D}"/>
            </a:ext>
          </a:extLst>
        </xdr:cNvPr>
        <xdr:cNvSpPr txBox="1"/>
      </xdr:nvSpPr>
      <xdr:spPr>
        <a:xfrm>
          <a:off x="838200" y="9361393"/>
          <a:ext cx="12992549" cy="5688107"/>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2000" b="1">
              <a:solidFill>
                <a:schemeClr val="dk1"/>
              </a:solidFill>
              <a:latin typeface="+mn-lt"/>
              <a:ea typeface="+mn-ea"/>
              <a:cs typeface="+mn-cs"/>
            </a:rPr>
            <a:t>الفروق الأساسية:</a:t>
          </a:r>
        </a:p>
        <a:p>
          <a:pPr marL="457200" lvl="1" indent="0" algn="r" rtl="1"/>
          <a:endParaRPr lang="en-US" sz="2000" b="1">
            <a:solidFill>
              <a:schemeClr val="dk1"/>
            </a:solidFill>
            <a:latin typeface="+mn-lt"/>
            <a:ea typeface="+mn-ea"/>
            <a:cs typeface="+mn-cs"/>
          </a:endParaRPr>
        </a:p>
        <a:p>
          <a:pPr marL="457200" lvl="1" indent="0" algn="r" rtl="1"/>
          <a:r>
            <a:rPr lang="ar-SA" sz="2000" b="1">
              <a:solidFill>
                <a:schemeClr val="dk1"/>
              </a:solidFill>
              <a:latin typeface="+mn-lt"/>
              <a:ea typeface="+mn-ea"/>
              <a:cs typeface="+mn-cs"/>
            </a:rPr>
            <a:t>التعقيد</a:t>
          </a:r>
          <a:r>
            <a:rPr lang="ar-SA" sz="2000" b="0">
              <a:solidFill>
                <a:schemeClr val="dk1"/>
              </a:solidFill>
              <a:latin typeface="+mn-lt"/>
              <a:ea typeface="+mn-ea"/>
              <a:cs typeface="+mn-cs"/>
            </a:rPr>
            <a:t>: الدوال غالبًا بتبقى أكتر تعقيدًا من المعادلات البسيطة، وبتساعدك في تنفيذ مهام معقدة بسرعة.</a:t>
          </a:r>
        </a:p>
        <a:p>
          <a:pPr marL="457200" lvl="1" indent="0" algn="r" rtl="1"/>
          <a:endParaRPr lang="en-US" sz="2000" b="0">
            <a:solidFill>
              <a:schemeClr val="dk1"/>
            </a:solidFill>
            <a:latin typeface="+mn-lt"/>
            <a:ea typeface="+mn-ea"/>
            <a:cs typeface="+mn-cs"/>
          </a:endParaRPr>
        </a:p>
        <a:p>
          <a:pPr marL="457200" lvl="1" indent="0" algn="r" rtl="1"/>
          <a:r>
            <a:rPr lang="ar-SA" sz="2000" b="1">
              <a:solidFill>
                <a:schemeClr val="dk1"/>
              </a:solidFill>
              <a:latin typeface="+mn-lt"/>
              <a:ea typeface="+mn-ea"/>
              <a:cs typeface="+mn-cs"/>
            </a:rPr>
            <a:t>البناء</a:t>
          </a:r>
          <a:r>
            <a:rPr lang="ar-SA" sz="2000" b="0">
              <a:solidFill>
                <a:schemeClr val="dk1"/>
              </a:solidFill>
              <a:latin typeface="+mn-lt"/>
              <a:ea typeface="+mn-ea"/>
              <a:cs typeface="+mn-cs"/>
            </a:rPr>
            <a:t>: المعادلة ممكن تكون بسيطة جدًا، زي عملية جمع أو طرح، بينما الدوال بتبقى جاهزة للاستخدام وبتحتاج منك تحديد البيانات اللي عايز تشتغل عليها.</a:t>
          </a:r>
        </a:p>
        <a:p>
          <a:pPr marL="457200" lvl="1" indent="0" algn="r" rtl="1"/>
          <a:endParaRPr lang="en-US" sz="2000" b="0">
            <a:solidFill>
              <a:schemeClr val="dk1"/>
            </a:solidFill>
            <a:latin typeface="+mn-lt"/>
            <a:ea typeface="+mn-ea"/>
            <a:cs typeface="+mn-cs"/>
          </a:endParaRPr>
        </a:p>
        <a:p>
          <a:pPr marL="457200" lvl="1" indent="0" algn="r" rtl="1"/>
          <a:r>
            <a:rPr lang="ar-SA" sz="2000" b="1">
              <a:solidFill>
                <a:schemeClr val="dk1"/>
              </a:solidFill>
              <a:latin typeface="+mn-lt"/>
              <a:ea typeface="+mn-ea"/>
              <a:cs typeface="+mn-cs"/>
            </a:rPr>
            <a:t>المرونة</a:t>
          </a:r>
          <a:r>
            <a:rPr lang="ar-SA" sz="2000" b="0">
              <a:solidFill>
                <a:schemeClr val="dk1"/>
              </a:solidFill>
              <a:latin typeface="+mn-lt"/>
              <a:ea typeface="+mn-ea"/>
              <a:cs typeface="+mn-cs"/>
            </a:rPr>
            <a:t>: المعادلات بتمكنك من بناء عملياتك الخاصة بيك، بينما الدوال بتوفر لك أدوات جاهزة مسبقًا بتقدر تعتمد عليها لتنفيذ عمليات معينة بسرعة وكفاءة.</a:t>
          </a:r>
        </a:p>
        <a:p>
          <a:pPr marL="457200" lvl="1" indent="0" algn="r" rtl="1"/>
          <a:endParaRPr lang="en-US" sz="2000" b="0">
            <a:solidFill>
              <a:schemeClr val="dk1"/>
            </a:solidFill>
            <a:latin typeface="+mn-lt"/>
            <a:ea typeface="+mn-ea"/>
            <a:cs typeface="+mn-cs"/>
          </a:endParaRPr>
        </a:p>
        <a:p>
          <a:pPr marL="457200" lvl="1" indent="0" algn="r" rtl="1"/>
          <a:r>
            <a:rPr lang="ar-SA" sz="2000" b="1">
              <a:solidFill>
                <a:schemeClr val="dk1"/>
              </a:solidFill>
              <a:latin typeface="+mn-lt"/>
              <a:ea typeface="+mn-ea"/>
              <a:cs typeface="+mn-cs"/>
            </a:rPr>
            <a:t>ملخص</a:t>
          </a:r>
          <a:r>
            <a:rPr lang="ar-SA" sz="2000" b="0">
              <a:solidFill>
                <a:schemeClr val="dk1"/>
              </a:solidFill>
              <a:latin typeface="+mn-lt"/>
              <a:ea typeface="+mn-ea"/>
              <a:cs typeface="+mn-cs"/>
            </a:rPr>
            <a:t>:</a:t>
          </a:r>
        </a:p>
        <a:p>
          <a:pPr marL="457200" lvl="1" indent="0" algn="r" rtl="1"/>
          <a:r>
            <a:rPr lang="en-US" sz="2000" b="0">
              <a:solidFill>
                <a:schemeClr val="dk1"/>
              </a:solidFill>
              <a:latin typeface="+mn-lt"/>
              <a:ea typeface="+mn-ea"/>
              <a:cs typeface="+mn-cs"/>
            </a:rPr>
            <a:t>Formula (</a:t>
          </a:r>
          <a:r>
            <a:rPr lang="ar-SA" sz="2000" b="0">
              <a:solidFill>
                <a:schemeClr val="dk1"/>
              </a:solidFill>
              <a:latin typeface="+mn-lt"/>
              <a:ea typeface="+mn-ea"/>
              <a:cs typeface="+mn-cs"/>
            </a:rPr>
            <a:t>المعادلة): تعبير رياضي أو منطقي بتحطه في خلية، زي =</a:t>
          </a:r>
          <a:r>
            <a:rPr lang="en-US" sz="2000" b="0">
              <a:solidFill>
                <a:schemeClr val="dk1"/>
              </a:solidFill>
              <a:latin typeface="+mn-lt"/>
              <a:ea typeface="+mn-ea"/>
              <a:cs typeface="+mn-cs"/>
            </a:rPr>
            <a:t>A1 + B1.</a:t>
          </a:r>
        </a:p>
        <a:p>
          <a:pPr marL="457200" lvl="1" indent="0" algn="r" rtl="1"/>
          <a:endParaRPr lang="en-US" sz="2000" b="0">
            <a:solidFill>
              <a:schemeClr val="dk1"/>
            </a:solidFill>
            <a:latin typeface="+mn-lt"/>
            <a:ea typeface="+mn-ea"/>
            <a:cs typeface="+mn-cs"/>
          </a:endParaRPr>
        </a:p>
        <a:p>
          <a:pPr marL="457200" lvl="1" indent="0" algn="r" rtl="1"/>
          <a:r>
            <a:rPr lang="en-US" sz="2000" b="0">
              <a:solidFill>
                <a:schemeClr val="dk1"/>
              </a:solidFill>
              <a:latin typeface="+mn-lt"/>
              <a:ea typeface="+mn-ea"/>
              <a:cs typeface="+mn-cs"/>
            </a:rPr>
            <a:t>Function (</a:t>
          </a:r>
          <a:r>
            <a:rPr lang="ar-SA" sz="2000" b="0">
              <a:solidFill>
                <a:schemeClr val="dk1"/>
              </a:solidFill>
              <a:latin typeface="+mn-lt"/>
              <a:ea typeface="+mn-ea"/>
              <a:cs typeface="+mn-cs"/>
            </a:rPr>
            <a:t>الدالة): دالة مضمنة مسبقًا في </a:t>
          </a:r>
          <a:r>
            <a:rPr lang="en-US" sz="2000" b="0">
              <a:solidFill>
                <a:schemeClr val="dk1"/>
              </a:solidFill>
              <a:latin typeface="+mn-lt"/>
              <a:ea typeface="+mn-ea"/>
              <a:cs typeface="+mn-cs"/>
            </a:rPr>
            <a:t>Excel </a:t>
          </a:r>
          <a:r>
            <a:rPr lang="ar-SA" sz="2000" b="0">
              <a:solidFill>
                <a:schemeClr val="dk1"/>
              </a:solidFill>
              <a:latin typeface="+mn-lt"/>
              <a:ea typeface="+mn-ea"/>
              <a:cs typeface="+mn-cs"/>
            </a:rPr>
            <a:t>زي </a:t>
          </a:r>
          <a:r>
            <a:rPr lang="en-US" sz="2000" b="0">
              <a:solidFill>
                <a:schemeClr val="dk1"/>
              </a:solidFill>
              <a:latin typeface="+mn-lt"/>
              <a:ea typeface="+mn-ea"/>
              <a:cs typeface="+mn-cs"/>
            </a:rPr>
            <a:t>SUM, AVERAGE, IF </a:t>
          </a:r>
          <a:r>
            <a:rPr lang="ar-SA" sz="2000" b="0">
              <a:solidFill>
                <a:schemeClr val="dk1"/>
              </a:solidFill>
              <a:latin typeface="+mn-lt"/>
              <a:ea typeface="+mn-ea"/>
              <a:cs typeface="+mn-cs"/>
            </a:rPr>
            <a:t>بتقوم بمهمة محددة.</a:t>
          </a:r>
        </a:p>
      </xdr:txBody>
    </xdr:sp>
    <xdr:clientData/>
  </xdr:twoCellAnchor>
  <xdr:twoCellAnchor editAs="oneCell">
    <xdr:from>
      <xdr:col>28</xdr:col>
      <xdr:colOff>436342</xdr:colOff>
      <xdr:row>1</xdr:row>
      <xdr:rowOff>95251</xdr:rowOff>
    </xdr:from>
    <xdr:to>
      <xdr:col>32</xdr:col>
      <xdr:colOff>558424</xdr:colOff>
      <xdr:row>8</xdr:row>
      <xdr:rowOff>76201</xdr:rowOff>
    </xdr:to>
    <xdr:pic>
      <xdr:nvPicPr>
        <xdr:cNvPr id="15" name="Picture 14">
          <a:extLst>
            <a:ext uri="{FF2B5EF4-FFF2-40B4-BE49-F238E27FC236}">
              <a16:creationId xmlns:a16="http://schemas.microsoft.com/office/drawing/2014/main" id="{746E092C-3D82-61B9-ABB7-B7068B10D10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48775"/>
        <a:stretch/>
      </xdr:blipFill>
      <xdr:spPr>
        <a:xfrm>
          <a:off x="17505142" y="280308"/>
          <a:ext cx="2560482" cy="1276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594360</xdr:colOff>
      <xdr:row>6</xdr:row>
      <xdr:rowOff>124689</xdr:rowOff>
    </xdr:from>
    <xdr:to>
      <xdr:col>25</xdr:col>
      <xdr:colOff>175709</xdr:colOff>
      <xdr:row>50</xdr:row>
      <xdr:rowOff>96982</xdr:rowOff>
    </xdr:to>
    <xdr:sp macro="" textlink="">
      <xdr:nvSpPr>
        <xdr:cNvPr id="7" name="TextBox 6">
          <a:extLst>
            <a:ext uri="{FF2B5EF4-FFF2-40B4-BE49-F238E27FC236}">
              <a16:creationId xmlns:a16="http://schemas.microsoft.com/office/drawing/2014/main" id="{20D5CDAD-D50F-44E1-B566-4AB32E0EF295}"/>
            </a:ext>
          </a:extLst>
        </xdr:cNvPr>
        <xdr:cNvSpPr txBox="1"/>
      </xdr:nvSpPr>
      <xdr:spPr>
        <a:xfrm>
          <a:off x="2423160" y="1205344"/>
          <a:ext cx="12992549" cy="8174183"/>
        </a:xfrm>
        <a:prstGeom prst="roundRect">
          <a:avLst/>
        </a:prstGeom>
        <a:solidFill>
          <a:schemeClr val="lt1"/>
        </a:solidFill>
        <a:ln w="9525" cmpd="sng">
          <a:solidFill>
            <a:srgbClr val="0070C0"/>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en-US" sz="2000" b="0">
              <a:solidFill>
                <a:schemeClr val="dk1"/>
              </a:solidFill>
              <a:latin typeface="+mn-lt"/>
              <a:ea typeface="+mn-ea"/>
              <a:cs typeface="+mn-cs"/>
            </a:rPr>
            <a:t>Short Date (</a:t>
          </a:r>
          <a:r>
            <a:rPr lang="ar-SA" sz="2000" b="0">
              <a:solidFill>
                <a:schemeClr val="dk1"/>
              </a:solidFill>
              <a:latin typeface="+mn-lt"/>
              <a:ea typeface="+mn-ea"/>
              <a:cs typeface="+mn-cs"/>
            </a:rPr>
            <a:t>تاريخ قصير):</a:t>
          </a:r>
        </a:p>
        <a:p>
          <a:pPr marL="457200" lvl="1" indent="0" algn="r" rtl="1"/>
          <a:r>
            <a:rPr lang="ar-SA" sz="2000" b="0">
              <a:solidFill>
                <a:schemeClr val="dk1"/>
              </a:solidFill>
              <a:latin typeface="+mn-lt"/>
              <a:ea typeface="+mn-ea"/>
              <a:cs typeface="+mn-cs"/>
            </a:rPr>
            <a:t>الوصف: بيعرض التاريخ بصيغة قصيرة (زي 01/01/2024).</a:t>
          </a:r>
        </a:p>
        <a:p>
          <a:pPr marL="457200" lvl="1" indent="0" algn="r" rtl="1"/>
          <a:r>
            <a:rPr lang="ar-SA" sz="2000" b="0">
              <a:solidFill>
                <a:schemeClr val="dk1"/>
              </a:solidFill>
              <a:latin typeface="+mn-lt"/>
              <a:ea typeface="+mn-ea"/>
              <a:cs typeface="+mn-cs"/>
            </a:rPr>
            <a:t>الاستخدام: لما تحتاج تعرض التاريخ بشكل مختصر وموحد في الجدو</a:t>
          </a:r>
          <a:r>
            <a:rPr lang="ar-EG" sz="2000" b="0">
              <a:solidFill>
                <a:schemeClr val="dk1"/>
              </a:solidFill>
              <a:latin typeface="+mn-lt"/>
              <a:ea typeface="+mn-ea"/>
              <a:cs typeface="+mn-cs"/>
            </a:rPr>
            <a:t>ل</a:t>
          </a:r>
          <a:endParaRPr lang="en-US" sz="2000" b="0">
            <a:solidFill>
              <a:schemeClr val="dk1"/>
            </a:solidFill>
            <a:latin typeface="+mn-lt"/>
            <a:ea typeface="+mn-ea"/>
            <a:cs typeface="+mn-cs"/>
          </a:endParaRPr>
        </a:p>
        <a:p>
          <a:pPr marL="457200" lvl="1" indent="0" algn="r" rtl="1"/>
          <a:endParaRPr lang="en-US" sz="2000" b="0">
            <a:solidFill>
              <a:schemeClr val="dk1"/>
            </a:solidFill>
            <a:latin typeface="+mn-lt"/>
            <a:ea typeface="+mn-ea"/>
            <a:cs typeface="+mn-cs"/>
          </a:endParaRPr>
        </a:p>
        <a:p>
          <a:pPr marL="457200" lvl="1" indent="0" algn="r" rtl="1"/>
          <a:endParaRPr lang="ar-SA" sz="2000" b="0">
            <a:solidFill>
              <a:schemeClr val="dk1"/>
            </a:solidFill>
            <a:latin typeface="+mn-lt"/>
            <a:ea typeface="+mn-ea"/>
            <a:cs typeface="+mn-cs"/>
          </a:endParaRPr>
        </a:p>
        <a:p>
          <a:pPr marL="457200" lvl="1" indent="0" algn="r" rtl="1"/>
          <a:r>
            <a:rPr lang="en-US" sz="2000" b="0">
              <a:solidFill>
                <a:schemeClr val="dk1"/>
              </a:solidFill>
              <a:latin typeface="+mn-lt"/>
              <a:ea typeface="+mn-ea"/>
              <a:cs typeface="+mn-cs"/>
            </a:rPr>
            <a:t>Long Date (</a:t>
          </a:r>
          <a:r>
            <a:rPr lang="ar-SA" sz="2000" b="0">
              <a:solidFill>
                <a:schemeClr val="dk1"/>
              </a:solidFill>
              <a:latin typeface="+mn-lt"/>
              <a:ea typeface="+mn-ea"/>
              <a:cs typeface="+mn-cs"/>
            </a:rPr>
            <a:t>تاريخ طويل):</a:t>
          </a:r>
        </a:p>
        <a:p>
          <a:pPr marL="457200" lvl="1" indent="0" algn="r" rtl="1"/>
          <a:r>
            <a:rPr lang="ar-SA" sz="2000" b="0">
              <a:solidFill>
                <a:schemeClr val="dk1"/>
              </a:solidFill>
              <a:latin typeface="+mn-lt"/>
              <a:ea typeface="+mn-ea"/>
              <a:cs typeface="+mn-cs"/>
            </a:rPr>
            <a:t>الوصف: بيعرض التاريخ بصيغة طويلة (زي 01 </a:t>
          </a:r>
          <a:r>
            <a:rPr lang="en-US" sz="2000" b="0">
              <a:solidFill>
                <a:schemeClr val="dk1"/>
              </a:solidFill>
              <a:latin typeface="+mn-lt"/>
              <a:ea typeface="+mn-ea"/>
              <a:cs typeface="+mn-cs"/>
            </a:rPr>
            <a:t>January 2024).</a:t>
          </a:r>
        </a:p>
        <a:p>
          <a:pPr marL="457200" lvl="1" indent="0" algn="r" rtl="1"/>
          <a:r>
            <a:rPr lang="ar-SA" sz="2000" b="0">
              <a:solidFill>
                <a:schemeClr val="dk1"/>
              </a:solidFill>
              <a:latin typeface="+mn-lt"/>
              <a:ea typeface="+mn-ea"/>
              <a:cs typeface="+mn-cs"/>
            </a:rPr>
            <a:t>الاستخدام: لما تحتاج تعرض التاريخ بشكل أوضح ومفصل أكتر.</a:t>
          </a:r>
          <a:endParaRPr lang="ar-EG" sz="2000" b="0">
            <a:solidFill>
              <a:schemeClr val="dk1"/>
            </a:solidFill>
            <a:latin typeface="+mn-lt"/>
            <a:ea typeface="+mn-ea"/>
            <a:cs typeface="+mn-cs"/>
          </a:endParaRPr>
        </a:p>
        <a:p>
          <a:pPr marL="457200" lvl="1" indent="0" algn="r" rtl="1"/>
          <a:endParaRPr lang="ar-SA" sz="2000" b="0">
            <a:solidFill>
              <a:schemeClr val="dk1"/>
            </a:solidFill>
            <a:latin typeface="+mn-lt"/>
            <a:ea typeface="+mn-ea"/>
            <a:cs typeface="+mn-cs"/>
          </a:endParaRPr>
        </a:p>
        <a:p>
          <a:pPr marL="457200" lvl="1" indent="0" algn="r" rtl="1"/>
          <a:r>
            <a:rPr lang="en-US" sz="2000" b="0">
              <a:solidFill>
                <a:schemeClr val="dk1"/>
              </a:solidFill>
              <a:latin typeface="+mn-lt"/>
              <a:ea typeface="+mn-ea"/>
              <a:cs typeface="+mn-cs"/>
            </a:rPr>
            <a:t>Time (</a:t>
          </a:r>
          <a:r>
            <a:rPr lang="ar-SA" sz="2000" b="0">
              <a:solidFill>
                <a:schemeClr val="dk1"/>
              </a:solidFill>
              <a:latin typeface="+mn-lt"/>
              <a:ea typeface="+mn-ea"/>
              <a:cs typeface="+mn-cs"/>
            </a:rPr>
            <a:t>وقت):</a:t>
          </a:r>
        </a:p>
        <a:p>
          <a:pPr marL="457200" lvl="1" indent="0" algn="r" rtl="1"/>
          <a:r>
            <a:rPr lang="ar-SA" sz="2000" b="0">
              <a:solidFill>
                <a:schemeClr val="dk1"/>
              </a:solidFill>
              <a:latin typeface="+mn-lt"/>
              <a:ea typeface="+mn-ea"/>
              <a:cs typeface="+mn-cs"/>
            </a:rPr>
            <a:t>الوصف: بيعرض الوقت بصيغة الوقت (زي 10:30 </a:t>
          </a:r>
          <a:r>
            <a:rPr lang="en-US" sz="2000" b="0">
              <a:solidFill>
                <a:schemeClr val="dk1"/>
              </a:solidFill>
              <a:latin typeface="+mn-lt"/>
              <a:ea typeface="+mn-ea"/>
              <a:cs typeface="+mn-cs"/>
            </a:rPr>
            <a:t>AM).</a:t>
          </a:r>
        </a:p>
        <a:p>
          <a:pPr marL="457200" lvl="1" indent="0" algn="r" rtl="1"/>
          <a:r>
            <a:rPr lang="ar-SA" sz="2000" b="0">
              <a:solidFill>
                <a:schemeClr val="dk1"/>
              </a:solidFill>
              <a:latin typeface="+mn-lt"/>
              <a:ea typeface="+mn-ea"/>
              <a:cs typeface="+mn-cs"/>
            </a:rPr>
            <a:t>الاستخدام: مناسب للجداول اللي فيها مواعيد أو تسجيلات للوقت، زي جداول العمل أو الأحداث.</a:t>
          </a:r>
          <a:endParaRPr lang="ar-EG" sz="2000" b="0">
            <a:solidFill>
              <a:schemeClr val="dk1"/>
            </a:solidFill>
            <a:latin typeface="+mn-lt"/>
            <a:ea typeface="+mn-ea"/>
            <a:cs typeface="+mn-cs"/>
          </a:endParaRPr>
        </a:p>
        <a:p>
          <a:pPr marL="457200" lvl="1" indent="0" algn="r" rtl="1"/>
          <a:endParaRPr lang="ar-SA" sz="2000" b="0">
            <a:solidFill>
              <a:schemeClr val="dk1"/>
            </a:solidFill>
            <a:latin typeface="+mn-lt"/>
            <a:ea typeface="+mn-ea"/>
            <a:cs typeface="+mn-cs"/>
          </a:endParaRPr>
        </a:p>
        <a:p>
          <a:pPr marL="457200" lvl="1" indent="0" algn="r" rtl="1"/>
          <a:r>
            <a:rPr lang="en-US" sz="2000" b="0">
              <a:solidFill>
                <a:schemeClr val="dk1"/>
              </a:solidFill>
              <a:latin typeface="+mn-lt"/>
              <a:ea typeface="+mn-ea"/>
              <a:cs typeface="+mn-cs"/>
            </a:rPr>
            <a:t>Percentage (</a:t>
          </a:r>
          <a:r>
            <a:rPr lang="ar-SA" sz="2000" b="0">
              <a:solidFill>
                <a:schemeClr val="dk1"/>
              </a:solidFill>
              <a:latin typeface="+mn-lt"/>
              <a:ea typeface="+mn-ea"/>
              <a:cs typeface="+mn-cs"/>
            </a:rPr>
            <a:t>نسبة مئوية):</a:t>
          </a:r>
        </a:p>
        <a:p>
          <a:pPr marL="457200" lvl="1" indent="0" algn="r" rtl="1"/>
          <a:r>
            <a:rPr lang="ar-SA" sz="2000" b="0">
              <a:solidFill>
                <a:schemeClr val="dk1"/>
              </a:solidFill>
              <a:latin typeface="+mn-lt"/>
              <a:ea typeface="+mn-ea"/>
              <a:cs typeface="+mn-cs"/>
            </a:rPr>
            <a:t>الوصف: بيحول الرقم إلى نسبة مئوية ويضيف علامة النسبة (%)، مع إمكانية تحديد عدد الأرقام العشرية.</a:t>
          </a:r>
        </a:p>
        <a:p>
          <a:pPr marL="457200" lvl="1" indent="0" algn="r" rtl="1"/>
          <a:r>
            <a:rPr lang="ar-SA" sz="2000" b="0">
              <a:solidFill>
                <a:schemeClr val="dk1"/>
              </a:solidFill>
              <a:latin typeface="+mn-lt"/>
              <a:ea typeface="+mn-ea"/>
              <a:cs typeface="+mn-cs"/>
            </a:rPr>
            <a:t>الاستخدام: لما تكون بتعرض بيانات زي معدلات النمو، الخصومات، أو أي حاجة بتتقاس كنسبة مئوية.</a:t>
          </a:r>
          <a:endParaRPr lang="ar-EG" sz="2000" b="0">
            <a:solidFill>
              <a:schemeClr val="dk1"/>
            </a:solidFill>
            <a:latin typeface="+mn-lt"/>
            <a:ea typeface="+mn-ea"/>
            <a:cs typeface="+mn-cs"/>
          </a:endParaRPr>
        </a:p>
        <a:p>
          <a:pPr marL="457200" lvl="1" indent="0" algn="r" rtl="1"/>
          <a:endParaRPr lang="ar-SA" sz="2000" b="0">
            <a:solidFill>
              <a:schemeClr val="dk1"/>
            </a:solidFill>
            <a:latin typeface="+mn-lt"/>
            <a:ea typeface="+mn-ea"/>
            <a:cs typeface="+mn-cs"/>
          </a:endParaRPr>
        </a:p>
        <a:p>
          <a:pPr marL="457200" lvl="1" indent="0" algn="r" rtl="1"/>
          <a:r>
            <a:rPr lang="en-US" sz="2000" b="0">
              <a:solidFill>
                <a:schemeClr val="dk1"/>
              </a:solidFill>
              <a:latin typeface="+mn-lt"/>
              <a:ea typeface="+mn-ea"/>
              <a:cs typeface="+mn-cs"/>
            </a:rPr>
            <a:t>Fraction (</a:t>
          </a:r>
          <a:r>
            <a:rPr lang="ar-SA" sz="2000" b="0">
              <a:solidFill>
                <a:schemeClr val="dk1"/>
              </a:solidFill>
              <a:latin typeface="+mn-lt"/>
              <a:ea typeface="+mn-ea"/>
              <a:cs typeface="+mn-cs"/>
            </a:rPr>
            <a:t>كسر):</a:t>
          </a:r>
        </a:p>
        <a:p>
          <a:pPr marL="457200" lvl="1" indent="0" algn="r" rtl="1"/>
          <a:r>
            <a:rPr lang="ar-SA" sz="2000" b="0">
              <a:solidFill>
                <a:schemeClr val="dk1"/>
              </a:solidFill>
              <a:latin typeface="+mn-lt"/>
              <a:ea typeface="+mn-ea"/>
              <a:cs typeface="+mn-cs"/>
            </a:rPr>
            <a:t>الوصف: بيعرض الرقم ككسر (زي 1/2 أو 3/4).</a:t>
          </a:r>
        </a:p>
        <a:p>
          <a:pPr marL="457200" lvl="1" indent="0" algn="r" rtl="1"/>
          <a:r>
            <a:rPr lang="ar-SA" sz="2000" b="0">
              <a:solidFill>
                <a:schemeClr val="dk1"/>
              </a:solidFill>
              <a:latin typeface="+mn-lt"/>
              <a:ea typeface="+mn-ea"/>
              <a:cs typeface="+mn-cs"/>
            </a:rPr>
            <a:t>الاستخدام: مناسب للتعامل مع الكسور البسيطة في الجداول الرياضية أو العلمية.</a:t>
          </a:r>
          <a:endParaRPr lang="ar-EG" sz="2000" b="0">
            <a:solidFill>
              <a:schemeClr val="dk1"/>
            </a:solidFill>
            <a:latin typeface="+mn-lt"/>
            <a:ea typeface="+mn-ea"/>
            <a:cs typeface="+mn-cs"/>
          </a:endParaRPr>
        </a:p>
        <a:p>
          <a:pPr marL="457200" lvl="1" indent="0" algn="r" rtl="1"/>
          <a:endParaRPr lang="ar-SA" sz="2000" b="0">
            <a:solidFill>
              <a:schemeClr val="dk1"/>
            </a:solidFill>
            <a:latin typeface="+mn-lt"/>
            <a:ea typeface="+mn-ea"/>
            <a:cs typeface="+mn-cs"/>
          </a:endParaRPr>
        </a:p>
        <a:p>
          <a:pPr marL="457200" lvl="1" indent="0" algn="r" rtl="1"/>
          <a:r>
            <a:rPr lang="en-US" sz="2000" b="0">
              <a:solidFill>
                <a:schemeClr val="dk1"/>
              </a:solidFill>
              <a:latin typeface="+mn-lt"/>
              <a:ea typeface="+mn-ea"/>
              <a:cs typeface="+mn-cs"/>
            </a:rPr>
            <a:t>Scientific (</a:t>
          </a:r>
          <a:r>
            <a:rPr lang="ar-SA" sz="2000" b="0">
              <a:solidFill>
                <a:schemeClr val="dk1"/>
              </a:solidFill>
              <a:latin typeface="+mn-lt"/>
              <a:ea typeface="+mn-ea"/>
              <a:cs typeface="+mn-cs"/>
            </a:rPr>
            <a:t>علمي):</a:t>
          </a:r>
        </a:p>
        <a:p>
          <a:pPr marL="457200" lvl="1" indent="0" algn="r" rtl="1"/>
          <a:r>
            <a:rPr lang="ar-SA" sz="2000" b="0">
              <a:solidFill>
                <a:schemeClr val="dk1"/>
              </a:solidFill>
              <a:latin typeface="+mn-lt"/>
              <a:ea typeface="+mn-ea"/>
              <a:cs typeface="+mn-cs"/>
            </a:rPr>
            <a:t>الوصف: بيعرض الرقم بالصيغة العلمية (زي 1.23</a:t>
          </a:r>
          <a:r>
            <a:rPr lang="en-US" sz="2000" b="0">
              <a:solidFill>
                <a:schemeClr val="dk1"/>
              </a:solidFill>
              <a:latin typeface="+mn-lt"/>
              <a:ea typeface="+mn-ea"/>
              <a:cs typeface="+mn-cs"/>
            </a:rPr>
            <a:t>E+02)، </a:t>
          </a:r>
          <a:r>
            <a:rPr lang="ar-SA" sz="2000" b="0">
              <a:solidFill>
                <a:schemeClr val="dk1"/>
              </a:solidFill>
              <a:latin typeface="+mn-lt"/>
              <a:ea typeface="+mn-ea"/>
              <a:cs typeface="+mn-cs"/>
            </a:rPr>
            <a:t>وده مفيد للتعامل مع أرقام كبيرة أو صغيرة جدًا.</a:t>
          </a:r>
        </a:p>
        <a:p>
          <a:pPr marL="457200" lvl="1" indent="0" algn="r" rtl="1"/>
          <a:r>
            <a:rPr lang="ar-SA" sz="2000" b="0">
              <a:solidFill>
                <a:schemeClr val="dk1"/>
              </a:solidFill>
              <a:latin typeface="+mn-lt"/>
              <a:ea typeface="+mn-ea"/>
              <a:cs typeface="+mn-cs"/>
            </a:rPr>
            <a:t>الاستخدام: شائع في الجداول العلمية أو الحسابات اللي بتحتاج تعرض أرقام دقيقة جدًا في شكل مضغوط.</a:t>
          </a:r>
        </a:p>
      </xdr:txBody>
    </xdr:sp>
    <xdr:clientData/>
  </xdr:twoCellAnchor>
  <xdr:twoCellAnchor editAs="oneCell">
    <xdr:from>
      <xdr:col>41</xdr:col>
      <xdr:colOff>491760</xdr:colOff>
      <xdr:row>1</xdr:row>
      <xdr:rowOff>164523</xdr:rowOff>
    </xdr:from>
    <xdr:to>
      <xdr:col>46</xdr:col>
      <xdr:colOff>4242</xdr:colOff>
      <xdr:row>8</xdr:row>
      <xdr:rowOff>145473</xdr:rowOff>
    </xdr:to>
    <xdr:pic>
      <xdr:nvPicPr>
        <xdr:cNvPr id="8" name="Picture 7">
          <a:extLst>
            <a:ext uri="{FF2B5EF4-FFF2-40B4-BE49-F238E27FC236}">
              <a16:creationId xmlns:a16="http://schemas.microsoft.com/office/drawing/2014/main" id="{66132AAB-C204-46BB-AB23-9173960AF35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8775"/>
        <a:stretch/>
      </xdr:blipFill>
      <xdr:spPr>
        <a:xfrm>
          <a:off x="25485360" y="344632"/>
          <a:ext cx="2560482" cy="1241714"/>
        </a:xfrm>
        <a:prstGeom prst="rect">
          <a:avLst/>
        </a:prstGeom>
      </xdr:spPr>
    </xdr:pic>
    <xdr:clientData/>
  </xdr:twoCellAnchor>
  <xdr:twoCellAnchor>
    <xdr:from>
      <xdr:col>26</xdr:col>
      <xdr:colOff>331470</xdr:colOff>
      <xdr:row>10</xdr:row>
      <xdr:rowOff>43480</xdr:rowOff>
    </xdr:from>
    <xdr:to>
      <xdr:col>47</xdr:col>
      <xdr:colOff>522419</xdr:colOff>
      <xdr:row>46</xdr:row>
      <xdr:rowOff>178191</xdr:rowOff>
    </xdr:to>
    <xdr:sp macro="" textlink="">
      <xdr:nvSpPr>
        <xdr:cNvPr id="9" name="TextBox 8">
          <a:extLst>
            <a:ext uri="{FF2B5EF4-FFF2-40B4-BE49-F238E27FC236}">
              <a16:creationId xmlns:a16="http://schemas.microsoft.com/office/drawing/2014/main" id="{0008AF0C-D5FE-4600-A04F-EF85ECDAD3F5}"/>
            </a:ext>
          </a:extLst>
        </xdr:cNvPr>
        <xdr:cNvSpPr txBox="1"/>
      </xdr:nvSpPr>
      <xdr:spPr>
        <a:xfrm>
          <a:off x="16181070" y="1844571"/>
          <a:ext cx="12992549" cy="6895729"/>
        </a:xfrm>
        <a:prstGeom prst="roundRect">
          <a:avLst/>
        </a:prstGeom>
        <a:solidFill>
          <a:schemeClr val="lt1"/>
        </a:solidFill>
        <a:ln w="9525" cmpd="sng">
          <a:solidFill>
            <a:srgbClr val="0070C0"/>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en-US" sz="2000" b="0">
              <a:solidFill>
                <a:schemeClr val="dk1"/>
              </a:solidFill>
              <a:latin typeface="+mn-lt"/>
              <a:ea typeface="+mn-ea"/>
              <a:cs typeface="+mn-cs"/>
            </a:rPr>
            <a:t>General (</a:t>
          </a:r>
          <a:r>
            <a:rPr lang="ar-SA" sz="2000" b="0">
              <a:solidFill>
                <a:schemeClr val="dk1"/>
              </a:solidFill>
              <a:latin typeface="+mn-lt"/>
              <a:ea typeface="+mn-ea"/>
              <a:cs typeface="+mn-cs"/>
            </a:rPr>
            <a:t>عام):</a:t>
          </a:r>
        </a:p>
        <a:p>
          <a:pPr marL="457200" lvl="1" indent="0" algn="r" rtl="1"/>
          <a:r>
            <a:rPr lang="ar-SA" sz="2000" b="0">
              <a:solidFill>
                <a:schemeClr val="dk1"/>
              </a:solidFill>
              <a:latin typeface="+mn-lt"/>
              <a:ea typeface="+mn-ea"/>
              <a:cs typeface="+mn-cs"/>
            </a:rPr>
            <a:t>الوصف: التنسيق الافتراضي للخلايا. ما بيحددش نوع معين من البيانات، يعني أي حاجة تكتبها في الخلية هتظل كما هي بدون تنسيق خاص.</a:t>
          </a:r>
        </a:p>
        <a:p>
          <a:pPr marL="457200" lvl="1" indent="0" algn="r" rtl="1"/>
          <a:r>
            <a:rPr lang="ar-SA" sz="2000" b="0">
              <a:solidFill>
                <a:schemeClr val="dk1"/>
              </a:solidFill>
              <a:latin typeface="+mn-lt"/>
              <a:ea typeface="+mn-ea"/>
              <a:cs typeface="+mn-cs"/>
            </a:rPr>
            <a:t>الاستخدام: تستخدم لما مش محتاج تنسيق معين، والخلية ممكن تحتوي على أرقام، نصوص، أو تواريخ بدون أي معاملة خاصة.</a:t>
          </a:r>
          <a:endParaRPr lang="en-US" sz="2000" b="0">
            <a:solidFill>
              <a:schemeClr val="dk1"/>
            </a:solidFill>
            <a:latin typeface="+mn-lt"/>
            <a:ea typeface="+mn-ea"/>
            <a:cs typeface="+mn-cs"/>
          </a:endParaRPr>
        </a:p>
        <a:p>
          <a:pPr marL="457200" lvl="1" indent="0" algn="r" rtl="1"/>
          <a:endParaRPr lang="en-US" sz="2000" b="0">
            <a:solidFill>
              <a:schemeClr val="dk1"/>
            </a:solidFill>
            <a:latin typeface="+mn-lt"/>
            <a:ea typeface="+mn-ea"/>
            <a:cs typeface="+mn-cs"/>
          </a:endParaRPr>
        </a:p>
        <a:p>
          <a:pPr marL="457200" lvl="1" indent="0" algn="r" rtl="1"/>
          <a:endParaRPr lang="ar-SA" sz="2000" b="0">
            <a:solidFill>
              <a:schemeClr val="dk1"/>
            </a:solidFill>
            <a:latin typeface="+mn-lt"/>
            <a:ea typeface="+mn-ea"/>
            <a:cs typeface="+mn-cs"/>
          </a:endParaRPr>
        </a:p>
        <a:p>
          <a:pPr marL="457200" lvl="1" indent="0" algn="r" rtl="1"/>
          <a:r>
            <a:rPr lang="en-US" sz="2000" b="0">
              <a:solidFill>
                <a:schemeClr val="dk1"/>
              </a:solidFill>
              <a:latin typeface="+mn-lt"/>
              <a:ea typeface="+mn-ea"/>
              <a:cs typeface="+mn-cs"/>
            </a:rPr>
            <a:t>Number (</a:t>
          </a:r>
          <a:r>
            <a:rPr lang="ar-SA" sz="2000" b="0">
              <a:solidFill>
                <a:schemeClr val="dk1"/>
              </a:solidFill>
              <a:latin typeface="+mn-lt"/>
              <a:ea typeface="+mn-ea"/>
              <a:cs typeface="+mn-cs"/>
            </a:rPr>
            <a:t>رقم):</a:t>
          </a:r>
        </a:p>
        <a:p>
          <a:pPr marL="457200" lvl="1" indent="0" algn="r" rtl="1"/>
          <a:r>
            <a:rPr lang="ar-SA" sz="2000" b="0">
              <a:solidFill>
                <a:schemeClr val="dk1"/>
              </a:solidFill>
              <a:latin typeface="+mn-lt"/>
              <a:ea typeface="+mn-ea"/>
              <a:cs typeface="+mn-cs"/>
            </a:rPr>
            <a:t>الوصف: ده تنسيق رقمي بيستخدم لإظهار الأرقام. ممكن يجي بعدد معين من الأرقام العشرية (زي 2.00) وممكن كمان يضيف فواصل للأرقام الكبيرة (زي 1,000).</a:t>
          </a:r>
        </a:p>
        <a:p>
          <a:pPr marL="457200" lvl="1" indent="0" algn="r" rtl="1"/>
          <a:r>
            <a:rPr lang="ar-SA" sz="2000" b="0">
              <a:solidFill>
                <a:schemeClr val="dk1"/>
              </a:solidFill>
              <a:latin typeface="+mn-lt"/>
              <a:ea typeface="+mn-ea"/>
              <a:cs typeface="+mn-cs"/>
            </a:rPr>
            <a:t>الاستخدام: مناسب لعرض الأرقام اللي هتستخدمها في الحسابات العادية.</a:t>
          </a:r>
          <a:endParaRPr lang="en-US" sz="2000" b="0">
            <a:solidFill>
              <a:schemeClr val="dk1"/>
            </a:solidFill>
            <a:latin typeface="+mn-lt"/>
            <a:ea typeface="+mn-ea"/>
            <a:cs typeface="+mn-cs"/>
          </a:endParaRPr>
        </a:p>
        <a:p>
          <a:pPr marL="457200" lvl="1" indent="0" algn="r" rtl="1"/>
          <a:endParaRPr lang="en-US" sz="2000" b="0">
            <a:solidFill>
              <a:schemeClr val="dk1"/>
            </a:solidFill>
            <a:latin typeface="+mn-lt"/>
            <a:ea typeface="+mn-ea"/>
            <a:cs typeface="+mn-cs"/>
          </a:endParaRPr>
        </a:p>
        <a:p>
          <a:pPr marL="457200" lvl="1" indent="0" algn="r" rtl="1"/>
          <a:endParaRPr lang="ar-SA" sz="2000" b="0">
            <a:solidFill>
              <a:schemeClr val="dk1"/>
            </a:solidFill>
            <a:latin typeface="+mn-lt"/>
            <a:ea typeface="+mn-ea"/>
            <a:cs typeface="+mn-cs"/>
          </a:endParaRPr>
        </a:p>
        <a:p>
          <a:pPr marL="457200" lvl="1" indent="0" algn="r" rtl="1"/>
          <a:r>
            <a:rPr lang="en-US" sz="2000" b="0">
              <a:solidFill>
                <a:schemeClr val="dk1"/>
              </a:solidFill>
              <a:latin typeface="+mn-lt"/>
              <a:ea typeface="+mn-ea"/>
              <a:cs typeface="+mn-cs"/>
            </a:rPr>
            <a:t>Currency (</a:t>
          </a:r>
          <a:r>
            <a:rPr lang="ar-SA" sz="2000" b="0">
              <a:solidFill>
                <a:schemeClr val="dk1"/>
              </a:solidFill>
              <a:latin typeface="+mn-lt"/>
              <a:ea typeface="+mn-ea"/>
              <a:cs typeface="+mn-cs"/>
            </a:rPr>
            <a:t>عملة):</a:t>
          </a:r>
        </a:p>
        <a:p>
          <a:pPr marL="457200" lvl="1" indent="0" algn="r" rtl="1"/>
          <a:r>
            <a:rPr lang="ar-SA" sz="2000" b="0">
              <a:solidFill>
                <a:schemeClr val="dk1"/>
              </a:solidFill>
              <a:latin typeface="+mn-lt"/>
              <a:ea typeface="+mn-ea"/>
              <a:cs typeface="+mn-cs"/>
            </a:rPr>
            <a:t>الوصف: بيظهر الرقم كقيمة نقدية، يعني بيضيف رمز العملة (زي $ أو €) قبل الرقم، وكمان بيحدد عدد معين من الأرقام العشرية.</a:t>
          </a:r>
        </a:p>
        <a:p>
          <a:pPr marL="457200" lvl="1" indent="0" algn="r" rtl="1"/>
          <a:r>
            <a:rPr lang="ar-SA" sz="2000" b="0">
              <a:solidFill>
                <a:schemeClr val="dk1"/>
              </a:solidFill>
              <a:latin typeface="+mn-lt"/>
              <a:ea typeface="+mn-ea"/>
              <a:cs typeface="+mn-cs"/>
            </a:rPr>
            <a:t>الاستخدام: لما تكون شغال على جداول مالية أو فواتير وعايز تعرض المبالغ المالية.</a:t>
          </a:r>
          <a:endParaRPr lang="en-US" sz="2000" b="0">
            <a:solidFill>
              <a:schemeClr val="dk1"/>
            </a:solidFill>
            <a:latin typeface="+mn-lt"/>
            <a:ea typeface="+mn-ea"/>
            <a:cs typeface="+mn-cs"/>
          </a:endParaRPr>
        </a:p>
        <a:p>
          <a:pPr marL="457200" lvl="1" indent="0" algn="r" rtl="1"/>
          <a:endParaRPr lang="en-US" sz="2000" b="0">
            <a:solidFill>
              <a:schemeClr val="dk1"/>
            </a:solidFill>
            <a:latin typeface="+mn-lt"/>
            <a:ea typeface="+mn-ea"/>
            <a:cs typeface="+mn-cs"/>
          </a:endParaRPr>
        </a:p>
        <a:p>
          <a:pPr marL="457200" lvl="1" indent="0" algn="r" rtl="1"/>
          <a:endParaRPr lang="ar-SA" sz="2000" b="0">
            <a:solidFill>
              <a:schemeClr val="dk1"/>
            </a:solidFill>
            <a:latin typeface="+mn-lt"/>
            <a:ea typeface="+mn-ea"/>
            <a:cs typeface="+mn-cs"/>
          </a:endParaRPr>
        </a:p>
        <a:p>
          <a:pPr marL="457200" lvl="1" indent="0" algn="r" rtl="1"/>
          <a:r>
            <a:rPr lang="en-US" sz="2000" b="0">
              <a:solidFill>
                <a:schemeClr val="dk1"/>
              </a:solidFill>
              <a:latin typeface="+mn-lt"/>
              <a:ea typeface="+mn-ea"/>
              <a:cs typeface="+mn-cs"/>
            </a:rPr>
            <a:t>Accounting (</a:t>
          </a:r>
          <a:r>
            <a:rPr lang="ar-SA" sz="2000" b="0">
              <a:solidFill>
                <a:schemeClr val="dk1"/>
              </a:solidFill>
              <a:latin typeface="+mn-lt"/>
              <a:ea typeface="+mn-ea"/>
              <a:cs typeface="+mn-cs"/>
            </a:rPr>
            <a:t>محاسبي):</a:t>
          </a:r>
        </a:p>
        <a:p>
          <a:pPr marL="457200" lvl="1" indent="0" algn="r" rtl="1"/>
          <a:r>
            <a:rPr lang="ar-SA" sz="2000" b="0">
              <a:solidFill>
                <a:schemeClr val="dk1"/>
              </a:solidFill>
              <a:latin typeface="+mn-lt"/>
              <a:ea typeface="+mn-ea"/>
              <a:cs typeface="+mn-cs"/>
            </a:rPr>
            <a:t>الوصف: شبيه بتنسيق العملة لكن مع بعض الفروق، زي أن رمز العملة بيكون محاذي على يسار الخلية، والأرقام بيتم تنسيقها بشكل محاذي لليمين.</a:t>
          </a:r>
        </a:p>
        <a:p>
          <a:pPr marL="457200" lvl="1" indent="0" algn="r" rtl="1"/>
          <a:r>
            <a:rPr lang="ar-SA" sz="2000" b="0">
              <a:solidFill>
                <a:schemeClr val="dk1"/>
              </a:solidFill>
              <a:latin typeface="+mn-lt"/>
              <a:ea typeface="+mn-ea"/>
              <a:cs typeface="+mn-cs"/>
            </a:rPr>
            <a:t>الاستخدام: بيستخدم في جداول المحاسبة والميزانيات، لأنه بيسهل قراءة الأرقام المالية.</a:t>
          </a:r>
          <a:endParaRPr lang="en-US" sz="2000" b="0">
            <a:solidFill>
              <a:schemeClr val="dk1"/>
            </a:solidFill>
            <a:latin typeface="+mn-lt"/>
            <a:ea typeface="+mn-ea"/>
            <a:cs typeface="+mn-cs"/>
          </a:endParaRPr>
        </a:p>
        <a:p>
          <a:pPr marL="457200" lvl="1" indent="0" algn="r" rtl="1"/>
          <a:endParaRPr lang="en-US" sz="2000" b="0">
            <a:solidFill>
              <a:schemeClr val="dk1"/>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543792</xdr:colOff>
      <xdr:row>6</xdr:row>
      <xdr:rowOff>125152</xdr:rowOff>
    </xdr:from>
    <xdr:to>
      <xdr:col>18</xdr:col>
      <xdr:colOff>604752</xdr:colOff>
      <xdr:row>16</xdr:row>
      <xdr:rowOff>150160</xdr:rowOff>
    </xdr:to>
    <xdr:sp macro="" textlink="">
      <xdr:nvSpPr>
        <xdr:cNvPr id="5" name="TextBox 4">
          <a:extLst>
            <a:ext uri="{FF2B5EF4-FFF2-40B4-BE49-F238E27FC236}">
              <a16:creationId xmlns:a16="http://schemas.microsoft.com/office/drawing/2014/main" id="{6827A356-A4C8-4777-B74B-8C54FEAC5990}"/>
            </a:ext>
          </a:extLst>
        </xdr:cNvPr>
        <xdr:cNvSpPr txBox="1"/>
      </xdr:nvSpPr>
      <xdr:spPr>
        <a:xfrm>
          <a:off x="3591792" y="1205807"/>
          <a:ext cx="7985760" cy="1992353"/>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2000" b="0">
              <a:solidFill>
                <a:schemeClr val="dk1"/>
              </a:solidFill>
              <a:latin typeface="+mn-lt"/>
              <a:ea typeface="+mn-ea"/>
              <a:cs typeface="+mn-cs"/>
            </a:rPr>
            <a:t>1. معادلة </a:t>
          </a:r>
          <a:r>
            <a:rPr lang="en-US" sz="2000" b="0">
              <a:solidFill>
                <a:schemeClr val="dk1"/>
              </a:solidFill>
              <a:latin typeface="+mn-lt"/>
              <a:ea typeface="+mn-ea"/>
              <a:cs typeface="+mn-cs"/>
            </a:rPr>
            <a:t>SUM:</a:t>
          </a:r>
        </a:p>
        <a:p>
          <a:pPr marL="457200" lvl="1" indent="0" algn="r" rtl="1"/>
          <a:r>
            <a:rPr lang="ar-SA" sz="2000" b="0">
              <a:solidFill>
                <a:schemeClr val="dk1"/>
              </a:solidFill>
              <a:latin typeface="+mn-lt"/>
              <a:ea typeface="+mn-ea"/>
              <a:cs typeface="+mn-cs"/>
            </a:rPr>
            <a:t>وظيفتها: دي من أبسط وأشهر المعادلات في </a:t>
          </a:r>
          <a:r>
            <a:rPr lang="en-US" sz="2000" b="0">
              <a:solidFill>
                <a:schemeClr val="dk1"/>
              </a:solidFill>
              <a:latin typeface="+mn-lt"/>
              <a:ea typeface="+mn-ea"/>
              <a:cs typeface="+mn-cs"/>
            </a:rPr>
            <a:t>Excel، </a:t>
          </a:r>
          <a:r>
            <a:rPr lang="ar-SA" sz="2000" b="0">
              <a:solidFill>
                <a:schemeClr val="dk1"/>
              </a:solidFill>
              <a:latin typeface="+mn-lt"/>
              <a:ea typeface="+mn-ea"/>
              <a:cs typeface="+mn-cs"/>
            </a:rPr>
            <a:t>وبتستخدمها عشان تجمع مجموعة من الأرقام.</a:t>
          </a:r>
        </a:p>
        <a:p>
          <a:pPr marL="457200" lvl="1" indent="0" algn="r" rtl="1"/>
          <a:r>
            <a:rPr lang="ar-SA" sz="2000" b="1"/>
            <a:t>الاستخدام:</a:t>
          </a:r>
          <a:r>
            <a:rPr lang="ar-SA" sz="2000"/>
            <a:t> هتلاقيها مفيدة لما تكون عايز تجمع أرقام زي مبيعات شهر معين أو مجموع درجات.</a:t>
          </a:r>
          <a:endParaRPr lang="en-US" sz="2000" b="0">
            <a:solidFill>
              <a:schemeClr val="dk1"/>
            </a:solidFill>
            <a:latin typeface="+mn-lt"/>
            <a:ea typeface="+mn-ea"/>
            <a:cs typeface="+mn-cs"/>
          </a:endParaRPr>
        </a:p>
      </xdr:txBody>
    </xdr:sp>
    <xdr:clientData/>
  </xdr:twoCellAnchor>
  <xdr:twoCellAnchor editAs="oneCell">
    <xdr:from>
      <xdr:col>0</xdr:col>
      <xdr:colOff>62270</xdr:colOff>
      <xdr:row>2</xdr:row>
      <xdr:rowOff>76449</xdr:rowOff>
    </xdr:from>
    <xdr:to>
      <xdr:col>4</xdr:col>
      <xdr:colOff>184352</xdr:colOff>
      <xdr:row>9</xdr:row>
      <xdr:rowOff>57399</xdr:rowOff>
    </xdr:to>
    <xdr:pic>
      <xdr:nvPicPr>
        <xdr:cNvPr id="8" name="Picture 7">
          <a:extLst>
            <a:ext uri="{FF2B5EF4-FFF2-40B4-BE49-F238E27FC236}">
              <a16:creationId xmlns:a16="http://schemas.microsoft.com/office/drawing/2014/main" id="{938AD717-BD0D-4B1E-9AAE-0223F17ED1A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8775"/>
        <a:stretch/>
      </xdr:blipFill>
      <xdr:spPr>
        <a:xfrm>
          <a:off x="62270" y="436667"/>
          <a:ext cx="2560482" cy="1241714"/>
        </a:xfrm>
        <a:prstGeom prst="rect">
          <a:avLst/>
        </a:prstGeom>
      </xdr:spPr>
    </xdr:pic>
    <xdr:clientData/>
  </xdr:twoCellAnchor>
  <xdr:twoCellAnchor editAs="oneCell">
    <xdr:from>
      <xdr:col>20</xdr:col>
      <xdr:colOff>387927</xdr:colOff>
      <xdr:row>5</xdr:row>
      <xdr:rowOff>90055</xdr:rowOff>
    </xdr:from>
    <xdr:to>
      <xdr:col>40</xdr:col>
      <xdr:colOff>272613</xdr:colOff>
      <xdr:row>30</xdr:row>
      <xdr:rowOff>214745</xdr:rowOff>
    </xdr:to>
    <xdr:pic>
      <xdr:nvPicPr>
        <xdr:cNvPr id="10" name="Picture 9">
          <a:extLst>
            <a:ext uri="{FF2B5EF4-FFF2-40B4-BE49-F238E27FC236}">
              <a16:creationId xmlns:a16="http://schemas.microsoft.com/office/drawing/2014/main" id="{AAC65742-FE3C-3E96-F2D5-35194108071F}"/>
            </a:ext>
          </a:extLst>
        </xdr:cNvPr>
        <xdr:cNvPicPr>
          <a:picLocks noChangeAspect="1"/>
        </xdr:cNvPicPr>
      </xdr:nvPicPr>
      <xdr:blipFill rotWithShape="1">
        <a:blip xmlns:r="http://schemas.openxmlformats.org/officeDocument/2006/relationships" r:embed="rId2">
          <a:extLst>
            <a:ext uri="{BEBA8EAE-BF5A-486C-A8C5-ECC9F3942E4B}">
              <a14:imgProps xmlns:a14="http://schemas.microsoft.com/office/drawing/2010/main">
                <a14:imgLayer r:embed="rId3">
                  <a14:imgEffect>
                    <a14:brightnessContrast bright="40000" contrast="40000"/>
                  </a14:imgEffect>
                </a14:imgLayer>
              </a14:imgProps>
            </a:ext>
            <a:ext uri="{28A0092B-C50C-407E-A947-70E740481C1C}">
              <a14:useLocalDpi xmlns:a14="http://schemas.microsoft.com/office/drawing/2010/main" val="0"/>
            </a:ext>
          </a:extLst>
        </a:blip>
        <a:srcRect t="12325" b="15219"/>
        <a:stretch/>
      </xdr:blipFill>
      <xdr:spPr>
        <a:xfrm>
          <a:off x="12579927" y="990600"/>
          <a:ext cx="12076686" cy="4849090"/>
        </a:xfrm>
        <a:prstGeom prst="rect">
          <a:avLst/>
        </a:prstGeom>
        <a:ln>
          <a:noFill/>
        </a:ln>
        <a:effectLst>
          <a:softEdge rad="112500"/>
        </a:effectLst>
      </xdr:spPr>
    </xdr:pic>
    <xdr:clientData/>
  </xdr:twoCellAnchor>
  <xdr:twoCellAnchor>
    <xdr:from>
      <xdr:col>5</xdr:col>
      <xdr:colOff>543792</xdr:colOff>
      <xdr:row>18</xdr:row>
      <xdr:rowOff>69735</xdr:rowOff>
    </xdr:from>
    <xdr:to>
      <xdr:col>18</xdr:col>
      <xdr:colOff>604752</xdr:colOff>
      <xdr:row>29</xdr:row>
      <xdr:rowOff>80888</xdr:rowOff>
    </xdr:to>
    <xdr:sp macro="" textlink="">
      <xdr:nvSpPr>
        <xdr:cNvPr id="11" name="TextBox 10">
          <a:extLst>
            <a:ext uri="{FF2B5EF4-FFF2-40B4-BE49-F238E27FC236}">
              <a16:creationId xmlns:a16="http://schemas.microsoft.com/office/drawing/2014/main" id="{4420921C-576E-D4AA-571F-9B049D894B7D}"/>
            </a:ext>
          </a:extLst>
        </xdr:cNvPr>
        <xdr:cNvSpPr txBox="1"/>
      </xdr:nvSpPr>
      <xdr:spPr>
        <a:xfrm>
          <a:off x="3591792" y="3477953"/>
          <a:ext cx="7985760" cy="1992353"/>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2000" b="0">
              <a:solidFill>
                <a:schemeClr val="dk1"/>
              </a:solidFill>
              <a:latin typeface="+mn-lt"/>
              <a:ea typeface="+mn-ea"/>
              <a:cs typeface="+mn-cs"/>
            </a:rPr>
            <a:t>2. معادلة </a:t>
          </a:r>
          <a:r>
            <a:rPr lang="en-US" sz="2000" b="0">
              <a:solidFill>
                <a:schemeClr val="dk1"/>
              </a:solidFill>
              <a:latin typeface="+mn-lt"/>
              <a:ea typeface="+mn-ea"/>
              <a:cs typeface="+mn-cs"/>
            </a:rPr>
            <a:t>AVERAGE:</a:t>
          </a:r>
        </a:p>
        <a:p>
          <a:pPr marL="457200" lvl="1" indent="0" algn="r" rtl="1"/>
          <a:r>
            <a:rPr lang="ar-SA" sz="2000" b="0">
              <a:solidFill>
                <a:schemeClr val="dk1"/>
              </a:solidFill>
              <a:latin typeface="+mn-lt"/>
              <a:ea typeface="+mn-ea"/>
              <a:cs typeface="+mn-cs"/>
            </a:rPr>
            <a:t>وظيفتها: المعادلة دي بتحسب لك المتوسط الحسابي (اللي هو مجموع الأرقام على عددهم).</a:t>
          </a:r>
        </a:p>
        <a:p>
          <a:pPr marL="457200" lvl="1" indent="0" algn="r" rtl="1"/>
          <a:r>
            <a:rPr lang="ar-SA" sz="2000" b="0">
              <a:solidFill>
                <a:schemeClr val="dk1"/>
              </a:solidFill>
              <a:latin typeface="+mn-lt"/>
              <a:ea typeface="+mn-ea"/>
              <a:cs typeface="+mn-cs"/>
            </a:rPr>
            <a:t>الاستخدام: هتستخدمها لما تكون عايز تعرف متوسط أداء حاجة معينة، زي متوسط المبيعات أو درجات الطلاب.</a:t>
          </a:r>
        </a:p>
      </xdr:txBody>
    </xdr:sp>
    <xdr:clientData/>
  </xdr:twoCellAnchor>
  <xdr:twoCellAnchor>
    <xdr:from>
      <xdr:col>5</xdr:col>
      <xdr:colOff>543792</xdr:colOff>
      <xdr:row>30</xdr:row>
      <xdr:rowOff>139009</xdr:rowOff>
    </xdr:from>
    <xdr:to>
      <xdr:col>18</xdr:col>
      <xdr:colOff>604752</xdr:colOff>
      <xdr:row>37</xdr:row>
      <xdr:rowOff>138546</xdr:rowOff>
    </xdr:to>
    <xdr:sp macro="" textlink="">
      <xdr:nvSpPr>
        <xdr:cNvPr id="12" name="TextBox 11">
          <a:extLst>
            <a:ext uri="{FF2B5EF4-FFF2-40B4-BE49-F238E27FC236}">
              <a16:creationId xmlns:a16="http://schemas.microsoft.com/office/drawing/2014/main" id="{EED71602-B354-5DF9-9EE3-9F2A425A2FAB}"/>
            </a:ext>
          </a:extLst>
        </xdr:cNvPr>
        <xdr:cNvSpPr txBox="1"/>
      </xdr:nvSpPr>
      <xdr:spPr>
        <a:xfrm>
          <a:off x="3591792" y="5763954"/>
          <a:ext cx="7985760" cy="1315719"/>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2000" b="0">
              <a:solidFill>
                <a:schemeClr val="dk1"/>
              </a:solidFill>
              <a:latin typeface="+mn-lt"/>
              <a:ea typeface="+mn-ea"/>
              <a:cs typeface="+mn-cs"/>
            </a:rPr>
            <a:t>3. معادلة </a:t>
          </a:r>
          <a:r>
            <a:rPr lang="en-US" sz="2000" b="0">
              <a:solidFill>
                <a:schemeClr val="dk1"/>
              </a:solidFill>
              <a:latin typeface="+mn-lt"/>
              <a:ea typeface="+mn-ea"/>
              <a:cs typeface="+mn-cs"/>
            </a:rPr>
            <a:t>COUNT:</a:t>
          </a:r>
        </a:p>
        <a:p>
          <a:pPr marL="457200" lvl="1" indent="0" algn="r" rtl="1"/>
          <a:r>
            <a:rPr lang="ar-SA" sz="2000" b="0">
              <a:solidFill>
                <a:schemeClr val="dk1"/>
              </a:solidFill>
              <a:latin typeface="+mn-lt"/>
              <a:ea typeface="+mn-ea"/>
              <a:cs typeface="+mn-cs"/>
            </a:rPr>
            <a:t>وظيفتها: بتعد عدد الخلايا اللي فيها أرقام.</a:t>
          </a:r>
        </a:p>
        <a:p>
          <a:pPr marL="457200" lvl="1" indent="0" algn="r" rtl="1"/>
          <a:r>
            <a:rPr lang="ar-SA" sz="2000" b="0">
              <a:solidFill>
                <a:schemeClr val="dk1"/>
              </a:solidFill>
              <a:latin typeface="+mn-lt"/>
              <a:ea typeface="+mn-ea"/>
              <a:cs typeface="+mn-cs"/>
            </a:rPr>
            <a:t>الاستخدام: مفيدة لما تكون عايز تعرف كام خلية مليانة بأرقام في نطاق معين.</a:t>
          </a:r>
        </a:p>
      </xdr:txBody>
    </xdr:sp>
    <xdr:clientData/>
  </xdr:twoCellAnchor>
  <xdr:twoCellAnchor>
    <xdr:from>
      <xdr:col>5</xdr:col>
      <xdr:colOff>543792</xdr:colOff>
      <xdr:row>40</xdr:row>
      <xdr:rowOff>28173</xdr:rowOff>
    </xdr:from>
    <xdr:to>
      <xdr:col>18</xdr:col>
      <xdr:colOff>604752</xdr:colOff>
      <xdr:row>49</xdr:row>
      <xdr:rowOff>55420</xdr:rowOff>
    </xdr:to>
    <xdr:sp macro="" textlink="">
      <xdr:nvSpPr>
        <xdr:cNvPr id="13" name="TextBox 12">
          <a:extLst>
            <a:ext uri="{FF2B5EF4-FFF2-40B4-BE49-F238E27FC236}">
              <a16:creationId xmlns:a16="http://schemas.microsoft.com/office/drawing/2014/main" id="{314F609C-3BEE-1AF1-A959-6B494FF724F4}"/>
            </a:ext>
          </a:extLst>
        </xdr:cNvPr>
        <xdr:cNvSpPr txBox="1"/>
      </xdr:nvSpPr>
      <xdr:spPr>
        <a:xfrm>
          <a:off x="3591792" y="7509628"/>
          <a:ext cx="7985760" cy="1648228"/>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2000" b="0">
              <a:solidFill>
                <a:schemeClr val="dk1"/>
              </a:solidFill>
              <a:latin typeface="+mn-lt"/>
              <a:ea typeface="+mn-ea"/>
              <a:cs typeface="+mn-cs"/>
            </a:rPr>
            <a:t>4. معادلة </a:t>
          </a:r>
          <a:r>
            <a:rPr lang="en-US" sz="2000" b="0">
              <a:solidFill>
                <a:schemeClr val="dk1"/>
              </a:solidFill>
              <a:latin typeface="+mn-lt"/>
              <a:ea typeface="+mn-ea"/>
              <a:cs typeface="+mn-cs"/>
            </a:rPr>
            <a:t>COUNTA:</a:t>
          </a:r>
        </a:p>
        <a:p>
          <a:pPr marL="457200" lvl="1" indent="0" algn="r" rtl="1"/>
          <a:r>
            <a:rPr lang="ar-SA" sz="2000" b="0">
              <a:solidFill>
                <a:schemeClr val="dk1"/>
              </a:solidFill>
              <a:latin typeface="+mn-lt"/>
              <a:ea typeface="+mn-ea"/>
              <a:cs typeface="+mn-cs"/>
            </a:rPr>
            <a:t>وظيفتها: بتعد عدد الخلايا اللي فيها أي حاجة (مش بس أرقام، ممكن تكون نصوص كمان).</a:t>
          </a:r>
        </a:p>
        <a:p>
          <a:pPr marL="457200" lvl="1" indent="0" algn="r" rtl="1"/>
          <a:r>
            <a:rPr lang="ar-SA" sz="2000" b="0">
              <a:solidFill>
                <a:schemeClr val="dk1"/>
              </a:solidFill>
              <a:latin typeface="+mn-lt"/>
              <a:ea typeface="+mn-ea"/>
              <a:cs typeface="+mn-cs"/>
            </a:rPr>
            <a:t>الاستخدام: لو عايز تعرف عدد الخلايا اللي مش فاضية</a:t>
          </a:r>
        </a:p>
      </xdr:txBody>
    </xdr:sp>
    <xdr:clientData/>
  </xdr:twoCellAnchor>
  <xdr:twoCellAnchor>
    <xdr:from>
      <xdr:col>5</xdr:col>
      <xdr:colOff>543792</xdr:colOff>
      <xdr:row>51</xdr:row>
      <xdr:rowOff>464</xdr:rowOff>
    </xdr:from>
    <xdr:to>
      <xdr:col>18</xdr:col>
      <xdr:colOff>604752</xdr:colOff>
      <xdr:row>58</xdr:row>
      <xdr:rowOff>138546</xdr:rowOff>
    </xdr:to>
    <xdr:sp macro="" textlink="">
      <xdr:nvSpPr>
        <xdr:cNvPr id="14" name="TextBox 13">
          <a:extLst>
            <a:ext uri="{FF2B5EF4-FFF2-40B4-BE49-F238E27FC236}">
              <a16:creationId xmlns:a16="http://schemas.microsoft.com/office/drawing/2014/main" id="{E6567E81-8214-9146-FA75-3F2C2D28465E}"/>
            </a:ext>
          </a:extLst>
        </xdr:cNvPr>
        <xdr:cNvSpPr txBox="1"/>
      </xdr:nvSpPr>
      <xdr:spPr>
        <a:xfrm>
          <a:off x="3591792" y="9463119"/>
          <a:ext cx="7985760" cy="1398845"/>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2000" b="0">
              <a:solidFill>
                <a:schemeClr val="dk1"/>
              </a:solidFill>
              <a:latin typeface="+mn-lt"/>
              <a:ea typeface="+mn-ea"/>
              <a:cs typeface="+mn-cs"/>
            </a:rPr>
            <a:t>6. معادلة </a:t>
          </a:r>
          <a:r>
            <a:rPr lang="en-US" sz="2000" b="0">
              <a:solidFill>
                <a:schemeClr val="dk1"/>
              </a:solidFill>
              <a:latin typeface="+mn-lt"/>
              <a:ea typeface="+mn-ea"/>
              <a:cs typeface="+mn-cs"/>
            </a:rPr>
            <a:t>MAX:</a:t>
          </a:r>
        </a:p>
        <a:p>
          <a:pPr marL="457200" lvl="1" indent="0" algn="r" rtl="1"/>
          <a:r>
            <a:rPr lang="ar-SA" sz="2000" b="0">
              <a:solidFill>
                <a:schemeClr val="dk1"/>
              </a:solidFill>
              <a:latin typeface="+mn-lt"/>
              <a:ea typeface="+mn-ea"/>
              <a:cs typeface="+mn-cs"/>
            </a:rPr>
            <a:t>وظيفتها: بتجيب لك أكبر قيمة في مجموعة أرقام.</a:t>
          </a:r>
        </a:p>
        <a:p>
          <a:pPr marL="457200" lvl="1" indent="0" algn="r" rtl="1"/>
          <a:r>
            <a:rPr lang="ar-SA" sz="2000" b="0">
              <a:solidFill>
                <a:schemeClr val="dk1"/>
              </a:solidFill>
              <a:latin typeface="+mn-lt"/>
              <a:ea typeface="+mn-ea"/>
              <a:cs typeface="+mn-cs"/>
            </a:rPr>
            <a:t>الاستخدام: مفيدة لو عايز تعرف أعلى مبيعات أو أكبر درجة في امتحان.</a:t>
          </a:r>
        </a:p>
      </xdr:txBody>
    </xdr:sp>
    <xdr:clientData/>
  </xdr:twoCellAnchor>
  <xdr:twoCellAnchor>
    <xdr:from>
      <xdr:col>5</xdr:col>
      <xdr:colOff>543792</xdr:colOff>
      <xdr:row>60</xdr:row>
      <xdr:rowOff>139010</xdr:rowOff>
    </xdr:from>
    <xdr:to>
      <xdr:col>18</xdr:col>
      <xdr:colOff>604752</xdr:colOff>
      <xdr:row>68</xdr:row>
      <xdr:rowOff>0</xdr:rowOff>
    </xdr:to>
    <xdr:sp macro="" textlink="">
      <xdr:nvSpPr>
        <xdr:cNvPr id="15" name="TextBox 14">
          <a:extLst>
            <a:ext uri="{FF2B5EF4-FFF2-40B4-BE49-F238E27FC236}">
              <a16:creationId xmlns:a16="http://schemas.microsoft.com/office/drawing/2014/main" id="{BD3224AD-66DC-0BC4-E36A-1F2D58F4ECE9}"/>
            </a:ext>
          </a:extLst>
        </xdr:cNvPr>
        <xdr:cNvSpPr txBox="1"/>
      </xdr:nvSpPr>
      <xdr:spPr>
        <a:xfrm>
          <a:off x="3591792" y="11222646"/>
          <a:ext cx="7985760" cy="1301863"/>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2000" b="0">
              <a:solidFill>
                <a:schemeClr val="dk1"/>
              </a:solidFill>
              <a:latin typeface="+mn-lt"/>
              <a:ea typeface="+mn-ea"/>
              <a:cs typeface="+mn-cs"/>
            </a:rPr>
            <a:t>7. معادلة </a:t>
          </a:r>
          <a:r>
            <a:rPr lang="en-US" sz="2000" b="0">
              <a:solidFill>
                <a:schemeClr val="dk1"/>
              </a:solidFill>
              <a:latin typeface="+mn-lt"/>
              <a:ea typeface="+mn-ea"/>
              <a:cs typeface="+mn-cs"/>
            </a:rPr>
            <a:t>MIN:</a:t>
          </a:r>
        </a:p>
        <a:p>
          <a:pPr marL="457200" lvl="1" indent="0" algn="r" rtl="1"/>
          <a:r>
            <a:rPr lang="ar-SA" sz="2000" b="0">
              <a:solidFill>
                <a:schemeClr val="dk1"/>
              </a:solidFill>
              <a:latin typeface="+mn-lt"/>
              <a:ea typeface="+mn-ea"/>
              <a:cs typeface="+mn-cs"/>
            </a:rPr>
            <a:t>وظيفتها: بتعمل العكس، يعني بتجيب لك أصغر قيمة في مجموعة أرقام.</a:t>
          </a:r>
        </a:p>
        <a:p>
          <a:pPr marL="457200" lvl="1" indent="0" algn="r" rtl="1"/>
          <a:r>
            <a:rPr lang="ar-SA" sz="2000" b="0">
              <a:solidFill>
                <a:schemeClr val="dk1"/>
              </a:solidFill>
              <a:latin typeface="+mn-lt"/>
              <a:ea typeface="+mn-ea"/>
              <a:cs typeface="+mn-cs"/>
            </a:rPr>
            <a:t>الاستخدام: هتستخدمها لما تكون عايز تعرف أقل حاجة، زي أقل تكلفة أو أقل سعر.</a:t>
          </a:r>
        </a:p>
      </xdr:txBody>
    </xdr:sp>
    <xdr:clientData/>
  </xdr:twoCellAnchor>
  <xdr:twoCellAnchor>
    <xdr:from>
      <xdr:col>23</xdr:col>
      <xdr:colOff>31174</xdr:colOff>
      <xdr:row>31</xdr:row>
      <xdr:rowOff>139010</xdr:rowOff>
    </xdr:from>
    <xdr:to>
      <xdr:col>36</xdr:col>
      <xdr:colOff>92134</xdr:colOff>
      <xdr:row>39</xdr:row>
      <xdr:rowOff>83128</xdr:rowOff>
    </xdr:to>
    <xdr:sp macro="" textlink="">
      <xdr:nvSpPr>
        <xdr:cNvPr id="16" name="TextBox 15">
          <a:extLst>
            <a:ext uri="{FF2B5EF4-FFF2-40B4-BE49-F238E27FC236}">
              <a16:creationId xmlns:a16="http://schemas.microsoft.com/office/drawing/2014/main" id="{14CA97DD-4E19-2A7B-C9F1-17B643752E14}"/>
            </a:ext>
          </a:extLst>
        </xdr:cNvPr>
        <xdr:cNvSpPr txBox="1"/>
      </xdr:nvSpPr>
      <xdr:spPr>
        <a:xfrm>
          <a:off x="14051974" y="5999483"/>
          <a:ext cx="7985760" cy="1384990"/>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2000" b="0">
              <a:solidFill>
                <a:schemeClr val="dk1"/>
              </a:solidFill>
              <a:latin typeface="+mn-lt"/>
              <a:ea typeface="+mn-ea"/>
              <a:cs typeface="+mn-cs"/>
            </a:rPr>
            <a:t>8. معادلة </a:t>
          </a:r>
          <a:r>
            <a:rPr lang="en-US" sz="2000" b="0">
              <a:solidFill>
                <a:schemeClr val="dk1"/>
              </a:solidFill>
              <a:latin typeface="+mn-lt"/>
              <a:ea typeface="+mn-ea"/>
              <a:cs typeface="+mn-cs"/>
            </a:rPr>
            <a:t>CONCATENATE (</a:t>
          </a:r>
          <a:r>
            <a:rPr lang="ar-SA" sz="2000" b="0">
              <a:solidFill>
                <a:schemeClr val="dk1"/>
              </a:solidFill>
              <a:latin typeface="+mn-lt"/>
              <a:ea typeface="+mn-ea"/>
              <a:cs typeface="+mn-cs"/>
            </a:rPr>
            <a:t>أو الـ &amp;):</a:t>
          </a:r>
        </a:p>
        <a:p>
          <a:pPr marL="457200" lvl="1" indent="0" algn="r" rtl="1"/>
          <a:r>
            <a:rPr lang="ar-SA" sz="2000" b="0">
              <a:solidFill>
                <a:schemeClr val="dk1"/>
              </a:solidFill>
              <a:latin typeface="+mn-lt"/>
              <a:ea typeface="+mn-ea"/>
              <a:cs typeface="+mn-cs"/>
            </a:rPr>
            <a:t>وظيفتها: بتجمع لك نصوص مع بعض في خلية واحدة.</a:t>
          </a:r>
        </a:p>
        <a:p>
          <a:pPr marL="457200" lvl="1" indent="0" algn="r" rtl="1"/>
          <a:r>
            <a:rPr lang="ar-SA" sz="2000" b="0">
              <a:solidFill>
                <a:schemeClr val="dk1"/>
              </a:solidFill>
              <a:latin typeface="+mn-lt"/>
              <a:ea typeface="+mn-ea"/>
              <a:cs typeface="+mn-cs"/>
            </a:rPr>
            <a:t>الاستخدام: مفيدة لما تكون عايز تجمع أسماء أو جمل في خلية واحدة.</a:t>
          </a:r>
        </a:p>
      </xdr:txBody>
    </xdr:sp>
    <xdr:clientData/>
  </xdr:twoCellAnchor>
  <xdr:twoCellAnchor>
    <xdr:from>
      <xdr:col>23</xdr:col>
      <xdr:colOff>17320</xdr:colOff>
      <xdr:row>41</xdr:row>
      <xdr:rowOff>69737</xdr:rowOff>
    </xdr:from>
    <xdr:to>
      <xdr:col>36</xdr:col>
      <xdr:colOff>78280</xdr:colOff>
      <xdr:row>65</xdr:row>
      <xdr:rowOff>21771</xdr:rowOff>
    </xdr:to>
    <xdr:sp macro="" textlink="">
      <xdr:nvSpPr>
        <xdr:cNvPr id="17" name="TextBox 16">
          <a:extLst>
            <a:ext uri="{FF2B5EF4-FFF2-40B4-BE49-F238E27FC236}">
              <a16:creationId xmlns:a16="http://schemas.microsoft.com/office/drawing/2014/main" id="{12E0A6C6-38BD-3872-DDAD-D9C4D1CB55FB}"/>
            </a:ext>
          </a:extLst>
        </xdr:cNvPr>
        <xdr:cNvSpPr txBox="1"/>
      </xdr:nvSpPr>
      <xdr:spPr>
        <a:xfrm>
          <a:off x="14038120" y="7874794"/>
          <a:ext cx="7985760" cy="4393406"/>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2000"/>
            <a:t>معادلة </a:t>
          </a:r>
          <a:r>
            <a:rPr lang="en-US" sz="2000"/>
            <a:t>UNIQUE </a:t>
          </a:r>
          <a:r>
            <a:rPr lang="ar-SA" sz="2000"/>
            <a:t>في </a:t>
          </a:r>
          <a:r>
            <a:rPr lang="en-US" sz="2000"/>
            <a:t>Excel </a:t>
          </a:r>
          <a:r>
            <a:rPr lang="ar-SA" sz="2000"/>
            <a:t>بتستخدم عشان تجيب القيم الفريدة (</a:t>
          </a:r>
          <a:r>
            <a:rPr lang="en-US" sz="2000"/>
            <a:t>unique values) </a:t>
          </a:r>
          <a:r>
            <a:rPr lang="ar-SA" sz="2000"/>
            <a:t>من نطاق معين، يعني لو عندك مجموعة من البيانات وعايز تعرف إيه القيم اللي مش متكررة، المعادلة دي هتكون مفيدة جدًا.</a:t>
          </a:r>
          <a:endParaRPr lang="en-US" sz="2000"/>
        </a:p>
        <a:p>
          <a:pPr marL="457200" lvl="1" indent="0" algn="r" rtl="1"/>
          <a:endParaRPr lang="en-US" sz="2000"/>
        </a:p>
        <a:p>
          <a:pPr marL="457200" lvl="1" indent="0" algn="r" rtl="1"/>
          <a:r>
            <a:rPr lang="ar-SA" sz="2000"/>
            <a:t>الفائدة من استخدام معادلة </a:t>
          </a:r>
          <a:r>
            <a:rPr lang="en-US" sz="2000"/>
            <a:t>UNIQUE:</a:t>
          </a:r>
        </a:p>
        <a:p>
          <a:pPr marL="457200" lvl="1" indent="0" algn="r" rtl="1"/>
          <a:endParaRPr lang="en-US" sz="2000"/>
        </a:p>
        <a:p>
          <a:pPr marL="457200" lvl="1" indent="0" algn="r" rtl="1"/>
          <a:r>
            <a:rPr lang="ar-SA" sz="2000"/>
            <a:t>التعرف على القيم الفريدة: لو عندك بيانات كبيرة وعايز تستخرج منها القيم اللي مش متكررة.</a:t>
          </a:r>
        </a:p>
        <a:p>
          <a:pPr marL="457200" lvl="1" indent="0" algn="r" rtl="1"/>
          <a:endParaRPr lang="en-US" sz="2000"/>
        </a:p>
        <a:p>
          <a:pPr marL="457200" lvl="1" indent="0" algn="r" rtl="1"/>
          <a:r>
            <a:rPr lang="ar-SA" sz="2000"/>
            <a:t>تصفية البيانات: تساعدك في تصفية البيانات المكررة وتبسيطها.</a:t>
          </a:r>
        </a:p>
        <a:p>
          <a:pPr marL="457200" lvl="1" indent="0" algn="r" rtl="1"/>
          <a:endParaRPr lang="en-US" sz="2000"/>
        </a:p>
        <a:p>
          <a:pPr marL="457200" lvl="1" indent="0" algn="r" rtl="1"/>
          <a:r>
            <a:rPr lang="ar-SA" sz="2000"/>
            <a:t>تسهيل التحليل: لما تكون عايز تحلل البيانات بدون تشتيت بسبب التكرارات.</a:t>
          </a:r>
        </a:p>
        <a:p>
          <a:pPr marL="457200" lvl="1" indent="0" algn="r" rtl="1"/>
          <a:endParaRPr lang="en-US" sz="2000"/>
        </a:p>
        <a:p>
          <a:pPr marL="457200" lvl="1" indent="0" algn="r" rtl="1"/>
          <a:endParaRPr lang="ar-SA" sz="2000" b="0">
            <a:solidFill>
              <a:schemeClr val="dk1"/>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20</xdr:col>
      <xdr:colOff>67542</xdr:colOff>
      <xdr:row>4</xdr:row>
      <xdr:rowOff>43510</xdr:rowOff>
    </xdr:from>
    <xdr:to>
      <xdr:col>79</xdr:col>
      <xdr:colOff>182880</xdr:colOff>
      <xdr:row>21</xdr:row>
      <xdr:rowOff>0</xdr:rowOff>
    </xdr:to>
    <xdr:sp macro="" textlink="">
      <xdr:nvSpPr>
        <xdr:cNvPr id="2" name="TextBox 1">
          <a:extLst>
            <a:ext uri="{FF2B5EF4-FFF2-40B4-BE49-F238E27FC236}">
              <a16:creationId xmlns:a16="http://schemas.microsoft.com/office/drawing/2014/main" id="{56FE8B84-F362-4392-B0A2-69B7ECB5B107}"/>
            </a:ext>
          </a:extLst>
        </xdr:cNvPr>
        <xdr:cNvSpPr txBox="1"/>
      </xdr:nvSpPr>
      <xdr:spPr>
        <a:xfrm>
          <a:off x="12259542" y="775030"/>
          <a:ext cx="36081738" cy="3248330"/>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7200" b="0">
              <a:solidFill>
                <a:schemeClr val="dk1"/>
              </a:solidFill>
              <a:latin typeface="+mn-lt"/>
              <a:ea typeface="+mn-ea"/>
              <a:cs typeface="+mn-cs"/>
            </a:rPr>
            <a:t>معادلة </a:t>
          </a:r>
          <a:r>
            <a:rPr lang="en-US" sz="7200" b="0">
              <a:solidFill>
                <a:schemeClr val="dk1"/>
              </a:solidFill>
              <a:latin typeface="+mn-lt"/>
              <a:ea typeface="+mn-ea"/>
              <a:cs typeface="+mn-cs"/>
            </a:rPr>
            <a:t>IF </a:t>
          </a:r>
          <a:r>
            <a:rPr lang="ar-SA" sz="7200" b="0">
              <a:solidFill>
                <a:schemeClr val="dk1"/>
              </a:solidFill>
              <a:latin typeface="+mn-lt"/>
              <a:ea typeface="+mn-ea"/>
              <a:cs typeface="+mn-cs"/>
            </a:rPr>
            <a:t>في </a:t>
          </a:r>
          <a:r>
            <a:rPr lang="en-US" sz="7200" b="0">
              <a:solidFill>
                <a:schemeClr val="dk1"/>
              </a:solidFill>
              <a:latin typeface="+mn-lt"/>
              <a:ea typeface="+mn-ea"/>
              <a:cs typeface="+mn-cs"/>
            </a:rPr>
            <a:t>Excel </a:t>
          </a:r>
          <a:r>
            <a:rPr lang="ar-SA" sz="7200" b="0">
              <a:solidFill>
                <a:schemeClr val="dk1"/>
              </a:solidFill>
              <a:latin typeface="+mn-lt"/>
              <a:ea typeface="+mn-ea"/>
              <a:cs typeface="+mn-cs"/>
            </a:rPr>
            <a:t>من أكثر المعادلات استخدامًا لأنها بتساعدك تاخد قرارات بناءً على شروط معينة. المعادلة بتتحقق من شرط معين، ولو الشرط ده اتحقق بتديك نتيجة، ولو الشرط ما اتحققش بتديك نتيجة تانية.</a:t>
          </a:r>
        </a:p>
      </xdr:txBody>
    </xdr:sp>
    <xdr:clientData/>
  </xdr:twoCellAnchor>
  <xdr:twoCellAnchor editAs="oneCell">
    <xdr:from>
      <xdr:col>0</xdr:col>
      <xdr:colOff>458510</xdr:colOff>
      <xdr:row>3</xdr:row>
      <xdr:rowOff>76449</xdr:rowOff>
    </xdr:from>
    <xdr:to>
      <xdr:col>4</xdr:col>
      <xdr:colOff>580592</xdr:colOff>
      <xdr:row>10</xdr:row>
      <xdr:rowOff>57399</xdr:rowOff>
    </xdr:to>
    <xdr:pic>
      <xdr:nvPicPr>
        <xdr:cNvPr id="3" name="Picture 2">
          <a:extLst>
            <a:ext uri="{FF2B5EF4-FFF2-40B4-BE49-F238E27FC236}">
              <a16:creationId xmlns:a16="http://schemas.microsoft.com/office/drawing/2014/main" id="{2A2A5351-A5D2-4033-98BD-9C82483076D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8775"/>
        <a:stretch/>
      </xdr:blipFill>
      <xdr:spPr>
        <a:xfrm>
          <a:off x="458510" y="625089"/>
          <a:ext cx="2560482" cy="1261110"/>
        </a:xfrm>
        <a:prstGeom prst="rect">
          <a:avLst/>
        </a:prstGeom>
      </xdr:spPr>
    </xdr:pic>
    <xdr:clientData/>
  </xdr:twoCellAnchor>
  <xdr:twoCellAnchor editAs="oneCell">
    <xdr:from>
      <xdr:col>5</xdr:col>
      <xdr:colOff>609204</xdr:colOff>
      <xdr:row>2</xdr:row>
      <xdr:rowOff>21772</xdr:rowOff>
    </xdr:from>
    <xdr:to>
      <xdr:col>18</xdr:col>
      <xdr:colOff>456804</xdr:colOff>
      <xdr:row>36</xdr:row>
      <xdr:rowOff>0</xdr:rowOff>
    </xdr:to>
    <xdr:pic>
      <xdr:nvPicPr>
        <xdr:cNvPr id="13" name="Picture 12">
          <a:extLst>
            <a:ext uri="{FF2B5EF4-FFF2-40B4-BE49-F238E27FC236}">
              <a16:creationId xmlns:a16="http://schemas.microsoft.com/office/drawing/2014/main" id="{68382946-BA0D-01DB-1487-39100EE9844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57204" y="387532"/>
          <a:ext cx="7772400" cy="6500948"/>
        </a:xfrm>
        <a:prstGeom prst="rect">
          <a:avLst/>
        </a:prstGeom>
      </xdr:spPr>
    </xdr:pic>
    <xdr:clientData/>
  </xdr:twoCellAnchor>
  <xdr:twoCellAnchor>
    <xdr:from>
      <xdr:col>62</xdr:col>
      <xdr:colOff>354330</xdr:colOff>
      <xdr:row>24</xdr:row>
      <xdr:rowOff>154000</xdr:rowOff>
    </xdr:from>
    <xdr:to>
      <xdr:col>79</xdr:col>
      <xdr:colOff>354330</xdr:colOff>
      <xdr:row>96</xdr:row>
      <xdr:rowOff>152400</xdr:rowOff>
    </xdr:to>
    <xdr:sp macro="" textlink="">
      <xdr:nvSpPr>
        <xdr:cNvPr id="12" name="TextBox 11">
          <a:extLst>
            <a:ext uri="{FF2B5EF4-FFF2-40B4-BE49-F238E27FC236}">
              <a16:creationId xmlns:a16="http://schemas.microsoft.com/office/drawing/2014/main" id="{4852432E-A6B2-6A04-AA4E-9EB0BC58B018}"/>
            </a:ext>
          </a:extLst>
        </xdr:cNvPr>
        <xdr:cNvSpPr txBox="1"/>
      </xdr:nvSpPr>
      <xdr:spPr>
        <a:xfrm>
          <a:off x="38149530" y="4726000"/>
          <a:ext cx="10363200" cy="13287680"/>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3000" b="0">
              <a:solidFill>
                <a:schemeClr val="dk1"/>
              </a:solidFill>
              <a:latin typeface="+mn-lt"/>
              <a:ea typeface="+mn-ea"/>
              <a:cs typeface="+mn-cs"/>
            </a:rPr>
            <a:t>مثال 1: التحقق من حجم الطلبات الكبيرة</a:t>
          </a:r>
        </a:p>
        <a:p>
          <a:pPr marL="457200" lvl="1" indent="0" algn="r" rtl="1"/>
          <a:r>
            <a:rPr lang="ar-SA" sz="3000" b="0">
              <a:solidFill>
                <a:schemeClr val="dk1"/>
              </a:solidFill>
              <a:latin typeface="+mn-lt"/>
              <a:ea typeface="+mn-ea"/>
              <a:cs typeface="+mn-cs"/>
            </a:rPr>
            <a:t>يمكنك استخدام معادلة </a:t>
          </a:r>
          <a:r>
            <a:rPr lang="en-US" sz="3000" b="0">
              <a:solidFill>
                <a:schemeClr val="dk1"/>
              </a:solidFill>
              <a:latin typeface="+mn-lt"/>
              <a:ea typeface="+mn-ea"/>
              <a:cs typeface="+mn-cs"/>
            </a:rPr>
            <a:t>IF </a:t>
          </a:r>
          <a:r>
            <a:rPr lang="ar-SA" sz="3000" b="0">
              <a:solidFill>
                <a:schemeClr val="dk1"/>
              </a:solidFill>
              <a:latin typeface="+mn-lt"/>
              <a:ea typeface="+mn-ea"/>
              <a:cs typeface="+mn-cs"/>
            </a:rPr>
            <a:t>للتحقق إذا كانت كمية الطلبات (</a:t>
          </a:r>
          <a:r>
            <a:rPr lang="en-US" sz="3000" b="0">
              <a:solidFill>
                <a:schemeClr val="dk1"/>
              </a:solidFill>
              <a:latin typeface="+mn-lt"/>
              <a:ea typeface="+mn-ea"/>
              <a:cs typeface="+mn-cs"/>
            </a:rPr>
            <a:t>Units) </a:t>
          </a:r>
          <a:r>
            <a:rPr lang="ar-SA" sz="3000" b="0">
              <a:solidFill>
                <a:schemeClr val="dk1"/>
              </a:solidFill>
              <a:latin typeface="+mn-lt"/>
              <a:ea typeface="+mn-ea"/>
              <a:cs typeface="+mn-cs"/>
            </a:rPr>
            <a:t>تتجاوز عدد معين مثلاً 200 وحدة، وتحديد إذا كان الطلب يعتبر "كبير" أو "صغير".</a:t>
          </a:r>
        </a:p>
        <a:p>
          <a:pPr marL="457200" lvl="1" indent="0" algn="r" rtl="1"/>
          <a:endParaRPr lang="en-US" sz="3000" b="0">
            <a:solidFill>
              <a:schemeClr val="dk1"/>
            </a:solidFill>
            <a:latin typeface="+mn-lt"/>
            <a:ea typeface="+mn-ea"/>
            <a:cs typeface="+mn-cs"/>
          </a:endParaRPr>
        </a:p>
        <a:p>
          <a:pPr marL="457200" lvl="1" indent="0" algn="r" rtl="1"/>
          <a:r>
            <a:rPr lang="en-US" sz="3000" b="0">
              <a:solidFill>
                <a:schemeClr val="dk1"/>
              </a:solidFill>
              <a:latin typeface="+mn-lt"/>
              <a:ea typeface="+mn-ea"/>
              <a:cs typeface="+mn-cs"/>
            </a:rPr>
            <a:t>=IF(Units &gt; 200, "</a:t>
          </a:r>
          <a:r>
            <a:rPr lang="ar-SA" sz="3000" b="0">
              <a:solidFill>
                <a:schemeClr val="dk1"/>
              </a:solidFill>
              <a:latin typeface="+mn-lt"/>
              <a:ea typeface="+mn-ea"/>
              <a:cs typeface="+mn-cs"/>
            </a:rPr>
            <a:t>كبير", "صغير") </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الشروط: </a:t>
          </a:r>
          <a:r>
            <a:rPr lang="en-US" sz="3000" b="0">
              <a:solidFill>
                <a:schemeClr val="dk1"/>
              </a:solidFill>
              <a:latin typeface="+mn-lt"/>
              <a:ea typeface="+mn-ea"/>
              <a:cs typeface="+mn-cs"/>
            </a:rPr>
            <a:t>Units &gt; 200 </a:t>
          </a:r>
          <a:r>
            <a:rPr lang="ar-SA" sz="3000" b="0">
              <a:solidFill>
                <a:schemeClr val="dk1"/>
              </a:solidFill>
              <a:latin typeface="+mn-lt"/>
              <a:ea typeface="+mn-ea"/>
              <a:cs typeface="+mn-cs"/>
            </a:rPr>
            <a:t>تعني التحقق إذا كانت كمية الطلبات أكبر من 200.</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النتيجة إذا تحقق الشرط: "كبير"</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النتيجة إذا لم يتحقق الشرط: "صغير"</a:t>
          </a:r>
        </a:p>
      </xdr:txBody>
    </xdr:sp>
    <xdr:clientData/>
  </xdr:twoCellAnchor>
  <xdr:twoCellAnchor>
    <xdr:from>
      <xdr:col>40</xdr:col>
      <xdr:colOff>377190</xdr:colOff>
      <xdr:row>26</xdr:row>
      <xdr:rowOff>43510</xdr:rowOff>
    </xdr:from>
    <xdr:to>
      <xdr:col>60</xdr:col>
      <xdr:colOff>320040</xdr:colOff>
      <xdr:row>58</xdr:row>
      <xdr:rowOff>49530</xdr:rowOff>
    </xdr:to>
    <xdr:sp macro="" textlink="">
      <xdr:nvSpPr>
        <xdr:cNvPr id="15" name="TextBox 14">
          <a:extLst>
            <a:ext uri="{FF2B5EF4-FFF2-40B4-BE49-F238E27FC236}">
              <a16:creationId xmlns:a16="http://schemas.microsoft.com/office/drawing/2014/main" id="{EF118406-E709-5018-DC22-66D1025BFCF0}"/>
            </a:ext>
          </a:extLst>
        </xdr:cNvPr>
        <xdr:cNvSpPr txBox="1"/>
      </xdr:nvSpPr>
      <xdr:spPr>
        <a:xfrm>
          <a:off x="24761190" y="4981270"/>
          <a:ext cx="12134850" cy="5980100"/>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3000" b="0">
              <a:solidFill>
                <a:schemeClr val="dk1"/>
              </a:solidFill>
              <a:latin typeface="+mn-lt"/>
              <a:ea typeface="+mn-ea"/>
              <a:cs typeface="+mn-cs"/>
            </a:rPr>
            <a:t>مثال 2: التحقق من المنتج بناءً على السعر</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إذا كنت تريد التحقق إذا كان سعر المنتج (</a:t>
          </a:r>
          <a:r>
            <a:rPr lang="en-US" sz="3000" b="0">
              <a:solidFill>
                <a:schemeClr val="dk1"/>
              </a:solidFill>
              <a:latin typeface="+mn-lt"/>
              <a:ea typeface="+mn-ea"/>
              <a:cs typeface="+mn-cs"/>
            </a:rPr>
            <a:t>Amount) </a:t>
          </a:r>
          <a:r>
            <a:rPr lang="ar-SA" sz="3000" b="0">
              <a:solidFill>
                <a:schemeClr val="dk1"/>
              </a:solidFill>
              <a:latin typeface="+mn-lt"/>
              <a:ea typeface="+mn-ea"/>
              <a:cs typeface="+mn-cs"/>
            </a:rPr>
            <a:t>أكبر من 5000 وتحديد إذا كان المنتج "مكلف" أو "رخيص"، يمكن استخدام معادلة </a:t>
          </a:r>
          <a:r>
            <a:rPr lang="en-US" sz="3000" b="0">
              <a:solidFill>
                <a:schemeClr val="dk1"/>
              </a:solidFill>
              <a:latin typeface="+mn-lt"/>
              <a:ea typeface="+mn-ea"/>
              <a:cs typeface="+mn-cs"/>
            </a:rPr>
            <a:t>IF </a:t>
          </a:r>
          <a:r>
            <a:rPr lang="ar-SA" sz="3000" b="0">
              <a:solidFill>
                <a:schemeClr val="dk1"/>
              </a:solidFill>
              <a:latin typeface="+mn-lt"/>
              <a:ea typeface="+mn-ea"/>
              <a:cs typeface="+mn-cs"/>
            </a:rPr>
            <a:t>كالتالي:</a:t>
          </a:r>
        </a:p>
        <a:p>
          <a:pPr marL="457200" lvl="1" indent="0" algn="r" rtl="1"/>
          <a:r>
            <a:rPr lang="en-US" sz="3000" b="0">
              <a:solidFill>
                <a:schemeClr val="dk1"/>
              </a:solidFill>
              <a:latin typeface="+mn-lt"/>
              <a:ea typeface="+mn-ea"/>
              <a:cs typeface="+mn-cs"/>
            </a:rPr>
            <a:t>=IF(Amount &gt; 5000, "</a:t>
          </a:r>
          <a:r>
            <a:rPr lang="ar-SA" sz="3000" b="0">
              <a:solidFill>
                <a:schemeClr val="dk1"/>
              </a:solidFill>
              <a:latin typeface="+mn-lt"/>
              <a:ea typeface="+mn-ea"/>
              <a:cs typeface="+mn-cs"/>
            </a:rPr>
            <a:t>مكلف", "رخيص") </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الشروط: </a:t>
          </a:r>
          <a:r>
            <a:rPr lang="en-US" sz="3000" b="0">
              <a:solidFill>
                <a:schemeClr val="dk1"/>
              </a:solidFill>
              <a:latin typeface="+mn-lt"/>
              <a:ea typeface="+mn-ea"/>
              <a:cs typeface="+mn-cs"/>
            </a:rPr>
            <a:t>Amount &gt; 5000 </a:t>
          </a:r>
          <a:r>
            <a:rPr lang="ar-SA" sz="3000" b="0">
              <a:solidFill>
                <a:schemeClr val="dk1"/>
              </a:solidFill>
              <a:latin typeface="+mn-lt"/>
              <a:ea typeface="+mn-ea"/>
              <a:cs typeface="+mn-cs"/>
            </a:rPr>
            <a:t>تعني التحقق إذا كانت قيمة الطلب أكبر من 5000.</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النتيجة إذا تحقق الشرط: "مكلف"</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النتيجة إذا لم يتحقق الشرط: "رخيص"</a:t>
          </a:r>
        </a:p>
      </xdr:txBody>
    </xdr:sp>
    <xdr:clientData/>
  </xdr:twoCellAnchor>
  <xdr:twoCellAnchor>
    <xdr:from>
      <xdr:col>19</xdr:col>
      <xdr:colOff>251460</xdr:colOff>
      <xdr:row>26</xdr:row>
      <xdr:rowOff>104470</xdr:rowOff>
    </xdr:from>
    <xdr:to>
      <xdr:col>39</xdr:col>
      <xdr:colOff>194310</xdr:colOff>
      <xdr:row>61</xdr:row>
      <xdr:rowOff>19396</xdr:rowOff>
    </xdr:to>
    <xdr:sp macro="" textlink="">
      <xdr:nvSpPr>
        <xdr:cNvPr id="16" name="TextBox 15">
          <a:extLst>
            <a:ext uri="{FF2B5EF4-FFF2-40B4-BE49-F238E27FC236}">
              <a16:creationId xmlns:a16="http://schemas.microsoft.com/office/drawing/2014/main" id="{AF7B194D-85F3-4622-ADD1-E2AE43D23A46}"/>
            </a:ext>
          </a:extLst>
        </xdr:cNvPr>
        <xdr:cNvSpPr txBox="1"/>
      </xdr:nvSpPr>
      <xdr:spPr>
        <a:xfrm>
          <a:off x="11833860" y="5042230"/>
          <a:ext cx="12134850" cy="6437646"/>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3000" b="0">
              <a:solidFill>
                <a:schemeClr val="dk1"/>
              </a:solidFill>
              <a:latin typeface="+mn-lt"/>
              <a:ea typeface="+mn-ea"/>
              <a:cs typeface="+mn-cs"/>
            </a:rPr>
            <a:t>مثال 3: التحقق من المنطقة الجغرافية</a:t>
          </a:r>
        </a:p>
        <a:p>
          <a:pPr marL="457200" lvl="1" indent="0" algn="r" rtl="1"/>
          <a:r>
            <a:rPr lang="ar-SA" sz="3000" b="0">
              <a:solidFill>
                <a:schemeClr val="dk1"/>
              </a:solidFill>
              <a:latin typeface="+mn-lt"/>
              <a:ea typeface="+mn-ea"/>
              <a:cs typeface="+mn-cs"/>
            </a:rPr>
            <a:t>لو عايز تتحقق من إذا كانت الطلبات صادرة من منطقة معينة، مثلاً "</a:t>
          </a:r>
          <a:r>
            <a:rPr lang="en-US" sz="3000" b="0">
              <a:solidFill>
                <a:schemeClr val="dk1"/>
              </a:solidFill>
              <a:latin typeface="+mn-lt"/>
              <a:ea typeface="+mn-ea"/>
              <a:cs typeface="+mn-cs"/>
            </a:rPr>
            <a:t>Al sharqia"، </a:t>
          </a:r>
          <a:r>
            <a:rPr lang="ar-SA" sz="3000" b="0">
              <a:solidFill>
                <a:schemeClr val="dk1"/>
              </a:solidFill>
              <a:latin typeface="+mn-lt"/>
              <a:ea typeface="+mn-ea"/>
              <a:cs typeface="+mn-cs"/>
            </a:rPr>
            <a:t>وتكتب "منطقة شرقية" لو صح و"منطقة أخرى" لو غلط، تقدر تعمل كده:</a:t>
          </a:r>
          <a:endParaRPr lang="en-US" sz="3000" b="0">
            <a:solidFill>
              <a:schemeClr val="dk1"/>
            </a:solidFill>
            <a:latin typeface="+mn-lt"/>
            <a:ea typeface="+mn-ea"/>
            <a:cs typeface="+mn-cs"/>
          </a:endParaRPr>
        </a:p>
        <a:p>
          <a:pPr marL="457200" lvl="1" indent="0" algn="r" rtl="1"/>
          <a:endParaRPr lang="en-US" sz="3000" b="0">
            <a:solidFill>
              <a:schemeClr val="dk1"/>
            </a:solidFill>
            <a:latin typeface="+mn-lt"/>
            <a:ea typeface="+mn-ea"/>
            <a:cs typeface="+mn-cs"/>
          </a:endParaRPr>
        </a:p>
        <a:p>
          <a:pPr marL="457200" lvl="1" indent="0" algn="r" rtl="1"/>
          <a:r>
            <a:rPr lang="en-US" sz="3000" b="0">
              <a:solidFill>
                <a:schemeClr val="dk1"/>
              </a:solidFill>
              <a:latin typeface="+mn-lt"/>
              <a:ea typeface="+mn-ea"/>
              <a:cs typeface="+mn-cs"/>
            </a:rPr>
            <a:t>=IF(Geography = "Al sharqia", "</a:t>
          </a:r>
          <a:r>
            <a:rPr lang="ar-SA" sz="3000" b="0">
              <a:solidFill>
                <a:schemeClr val="dk1"/>
              </a:solidFill>
              <a:latin typeface="+mn-lt"/>
              <a:ea typeface="+mn-ea"/>
              <a:cs typeface="+mn-cs"/>
            </a:rPr>
            <a:t>منطقة شرقية", "منطقة أخرى") </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الشروط: </a:t>
          </a:r>
          <a:r>
            <a:rPr lang="en-US" sz="3000" b="0">
              <a:solidFill>
                <a:schemeClr val="dk1"/>
              </a:solidFill>
              <a:latin typeface="+mn-lt"/>
              <a:ea typeface="+mn-ea"/>
              <a:cs typeface="+mn-cs"/>
            </a:rPr>
            <a:t>Geography = "Al sharqia" </a:t>
          </a:r>
          <a:r>
            <a:rPr lang="ar-SA" sz="3000" b="0">
              <a:solidFill>
                <a:schemeClr val="dk1"/>
              </a:solidFill>
              <a:latin typeface="+mn-lt"/>
              <a:ea typeface="+mn-ea"/>
              <a:cs typeface="+mn-cs"/>
            </a:rPr>
            <a:t>تعني التحقق إذا كانت المنطقة الجغرافية "</a:t>
          </a:r>
          <a:r>
            <a:rPr lang="en-US" sz="3000" b="0">
              <a:solidFill>
                <a:schemeClr val="dk1"/>
              </a:solidFill>
              <a:latin typeface="+mn-lt"/>
              <a:ea typeface="+mn-ea"/>
              <a:cs typeface="+mn-cs"/>
            </a:rPr>
            <a:t>Al sharqia".</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النتيجة إذا تحقق الشرط: "منطقة شرقية"</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النتيجة إذا لم يتحقق الشرط: "منطقة أخرى"</a:t>
          </a:r>
        </a:p>
      </xdr:txBody>
    </xdr:sp>
    <xdr:clientData/>
  </xdr:twoCellAnchor>
  <xdr:twoCellAnchor>
    <xdr:from>
      <xdr:col>40</xdr:col>
      <xdr:colOff>560070</xdr:colOff>
      <xdr:row>62</xdr:row>
      <xdr:rowOff>134950</xdr:rowOff>
    </xdr:from>
    <xdr:to>
      <xdr:col>60</xdr:col>
      <xdr:colOff>502920</xdr:colOff>
      <xdr:row>95</xdr:row>
      <xdr:rowOff>80010</xdr:rowOff>
    </xdr:to>
    <xdr:sp macro="" textlink="">
      <xdr:nvSpPr>
        <xdr:cNvPr id="17" name="TextBox 16">
          <a:extLst>
            <a:ext uri="{FF2B5EF4-FFF2-40B4-BE49-F238E27FC236}">
              <a16:creationId xmlns:a16="http://schemas.microsoft.com/office/drawing/2014/main" id="{3500F36D-A8C3-D547-1308-C75217CF629D}"/>
            </a:ext>
          </a:extLst>
        </xdr:cNvPr>
        <xdr:cNvSpPr txBox="1"/>
      </xdr:nvSpPr>
      <xdr:spPr>
        <a:xfrm>
          <a:off x="24944070" y="11778310"/>
          <a:ext cx="12134850" cy="5980100"/>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3000" b="0">
              <a:solidFill>
                <a:schemeClr val="dk1"/>
              </a:solidFill>
              <a:latin typeface="+mn-lt"/>
              <a:ea typeface="+mn-ea"/>
              <a:cs typeface="+mn-cs"/>
            </a:rPr>
            <a:t>مثال 4: التحقق من تاريخ الطلب</a:t>
          </a:r>
        </a:p>
        <a:p>
          <a:pPr marL="457200" lvl="1" indent="0" algn="r" rtl="1"/>
          <a:r>
            <a:rPr lang="ar-SA" sz="3000" b="0">
              <a:solidFill>
                <a:schemeClr val="dk1"/>
              </a:solidFill>
              <a:latin typeface="+mn-lt"/>
              <a:ea typeface="+mn-ea"/>
              <a:cs typeface="+mn-cs"/>
            </a:rPr>
            <a:t>إذا كنت ترغب في التحقق مما إذا كان تاريخ الطلب (</a:t>
          </a:r>
          <a:r>
            <a:rPr lang="en-US" sz="3000" b="0">
              <a:solidFill>
                <a:schemeClr val="dk1"/>
              </a:solidFill>
              <a:latin typeface="+mn-lt"/>
              <a:ea typeface="+mn-ea"/>
              <a:cs typeface="+mn-cs"/>
            </a:rPr>
            <a:t>Order date) </a:t>
          </a:r>
          <a:r>
            <a:rPr lang="ar-SA" sz="3000" b="0">
              <a:solidFill>
                <a:schemeClr val="dk1"/>
              </a:solidFill>
              <a:latin typeface="+mn-lt"/>
              <a:ea typeface="+mn-ea"/>
              <a:cs typeface="+mn-cs"/>
            </a:rPr>
            <a:t>يقع بعد تاريخ معين (مثلاً بعد 1 يناير 2024)، يمكنك استخدام معادلة </a:t>
          </a:r>
          <a:r>
            <a:rPr lang="en-US" sz="3000" b="0">
              <a:solidFill>
                <a:schemeClr val="dk1"/>
              </a:solidFill>
              <a:latin typeface="+mn-lt"/>
              <a:ea typeface="+mn-ea"/>
              <a:cs typeface="+mn-cs"/>
            </a:rPr>
            <a:t>IF </a:t>
          </a:r>
          <a:r>
            <a:rPr lang="ar-SA" sz="3000" b="0">
              <a:solidFill>
                <a:schemeClr val="dk1"/>
              </a:solidFill>
              <a:latin typeface="+mn-lt"/>
              <a:ea typeface="+mn-ea"/>
              <a:cs typeface="+mn-cs"/>
            </a:rPr>
            <a:t>كالتالي:</a:t>
          </a:r>
        </a:p>
        <a:p>
          <a:pPr marL="457200" lvl="1" indent="0" algn="r" rtl="1"/>
          <a:endParaRPr lang="en-US" sz="3000" b="0">
            <a:solidFill>
              <a:schemeClr val="dk1"/>
            </a:solidFill>
            <a:latin typeface="+mn-lt"/>
            <a:ea typeface="+mn-ea"/>
            <a:cs typeface="+mn-cs"/>
          </a:endParaRPr>
        </a:p>
        <a:p>
          <a:pPr marL="457200" lvl="1" indent="0" algn="r" rtl="1"/>
          <a:r>
            <a:rPr lang="en-US" sz="3000" b="0">
              <a:solidFill>
                <a:schemeClr val="dk1"/>
              </a:solidFill>
              <a:latin typeface="+mn-lt"/>
              <a:ea typeface="+mn-ea"/>
              <a:cs typeface="+mn-cs"/>
            </a:rPr>
            <a:t>=IF(Order_date &gt; DATE(2024,1,1), "</a:t>
          </a:r>
          <a:r>
            <a:rPr lang="ar-SA" sz="3000" b="0">
              <a:solidFill>
                <a:schemeClr val="dk1"/>
              </a:solidFill>
              <a:latin typeface="+mn-lt"/>
              <a:ea typeface="+mn-ea"/>
              <a:cs typeface="+mn-cs"/>
            </a:rPr>
            <a:t>حديث", "قديم") </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الشروط: </a:t>
          </a:r>
          <a:r>
            <a:rPr lang="en-US" sz="3000" b="0">
              <a:solidFill>
                <a:schemeClr val="dk1"/>
              </a:solidFill>
              <a:latin typeface="+mn-lt"/>
              <a:ea typeface="+mn-ea"/>
              <a:cs typeface="+mn-cs"/>
            </a:rPr>
            <a:t>Order_date &gt; DATE(2024,1,1) </a:t>
          </a:r>
          <a:r>
            <a:rPr lang="ar-SA" sz="3000" b="0">
              <a:solidFill>
                <a:schemeClr val="dk1"/>
              </a:solidFill>
              <a:latin typeface="+mn-lt"/>
              <a:ea typeface="+mn-ea"/>
              <a:cs typeface="+mn-cs"/>
            </a:rPr>
            <a:t>تعني التحقق إذا كان تاريخ الطلب بعد 1 يناير 2024.</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النتيجة إذا تحقق الشرط: "حديث"</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النتيجة إذا لم يتحقق الشرط: "قديم"</a:t>
          </a:r>
        </a:p>
      </xdr:txBody>
    </xdr:sp>
    <xdr:clientData/>
  </xdr:twoCellAnchor>
  <xdr:twoCellAnchor>
    <xdr:from>
      <xdr:col>19</xdr:col>
      <xdr:colOff>434340</xdr:colOff>
      <xdr:row>63</xdr:row>
      <xdr:rowOff>13030</xdr:rowOff>
    </xdr:from>
    <xdr:to>
      <xdr:col>39</xdr:col>
      <xdr:colOff>377190</xdr:colOff>
      <xdr:row>95</xdr:row>
      <xdr:rowOff>140970</xdr:rowOff>
    </xdr:to>
    <xdr:sp macro="" textlink="">
      <xdr:nvSpPr>
        <xdr:cNvPr id="18" name="TextBox 17">
          <a:extLst>
            <a:ext uri="{FF2B5EF4-FFF2-40B4-BE49-F238E27FC236}">
              <a16:creationId xmlns:a16="http://schemas.microsoft.com/office/drawing/2014/main" id="{D1AD4E6A-886B-7FDD-3C89-D0A814C8620A}"/>
            </a:ext>
          </a:extLst>
        </xdr:cNvPr>
        <xdr:cNvSpPr txBox="1"/>
      </xdr:nvSpPr>
      <xdr:spPr>
        <a:xfrm>
          <a:off x="12016740" y="11839270"/>
          <a:ext cx="12134850" cy="5980100"/>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3000" b="0">
              <a:solidFill>
                <a:schemeClr val="dk1"/>
              </a:solidFill>
              <a:latin typeface="+mn-lt"/>
              <a:ea typeface="+mn-ea"/>
              <a:cs typeface="+mn-cs"/>
            </a:rPr>
            <a:t>مثال 5: تطبيق خصم بناءً على كمية الطلب</a:t>
          </a:r>
        </a:p>
        <a:p>
          <a:pPr marL="457200" lvl="1" indent="0" algn="r" rtl="1"/>
          <a:r>
            <a:rPr lang="ar-SA" sz="3000" b="0">
              <a:solidFill>
                <a:schemeClr val="dk1"/>
              </a:solidFill>
              <a:latin typeface="+mn-lt"/>
              <a:ea typeface="+mn-ea"/>
              <a:cs typeface="+mn-cs"/>
            </a:rPr>
            <a:t>إذا كانت كمية الطلب (</a:t>
          </a:r>
          <a:r>
            <a:rPr lang="en-US" sz="3000" b="0">
              <a:solidFill>
                <a:schemeClr val="dk1"/>
              </a:solidFill>
              <a:latin typeface="+mn-lt"/>
              <a:ea typeface="+mn-ea"/>
              <a:cs typeface="+mn-cs"/>
            </a:rPr>
            <a:t>Units) </a:t>
          </a:r>
          <a:r>
            <a:rPr lang="ar-SA" sz="3000" b="0">
              <a:solidFill>
                <a:schemeClr val="dk1"/>
              </a:solidFill>
              <a:latin typeface="+mn-lt"/>
              <a:ea typeface="+mn-ea"/>
              <a:cs typeface="+mn-cs"/>
            </a:rPr>
            <a:t>تتجاوز 300 وحدة، يتم تطبيق خصم 10% على المبلغ (</a:t>
          </a:r>
          <a:r>
            <a:rPr lang="en-US" sz="3000" b="0">
              <a:solidFill>
                <a:schemeClr val="dk1"/>
              </a:solidFill>
              <a:latin typeface="+mn-lt"/>
              <a:ea typeface="+mn-ea"/>
              <a:cs typeface="+mn-cs"/>
            </a:rPr>
            <a:t>Amount)، </a:t>
          </a:r>
          <a:r>
            <a:rPr lang="ar-SA" sz="3000" b="0">
              <a:solidFill>
                <a:schemeClr val="dk1"/>
              </a:solidFill>
              <a:latin typeface="+mn-lt"/>
              <a:ea typeface="+mn-ea"/>
              <a:cs typeface="+mn-cs"/>
            </a:rPr>
            <a:t>وإلا يبقى المبلغ كما هو:</a:t>
          </a:r>
        </a:p>
        <a:p>
          <a:pPr marL="457200" lvl="1" indent="0" algn="r" rtl="1"/>
          <a:endParaRPr lang="en-US" sz="3000" b="0">
            <a:solidFill>
              <a:schemeClr val="dk1"/>
            </a:solidFill>
            <a:latin typeface="+mn-lt"/>
            <a:ea typeface="+mn-ea"/>
            <a:cs typeface="+mn-cs"/>
          </a:endParaRPr>
        </a:p>
        <a:p>
          <a:pPr marL="457200" lvl="1" indent="0" algn="r" rtl="1"/>
          <a:r>
            <a:rPr lang="en-US" sz="3000" b="0">
              <a:solidFill>
                <a:schemeClr val="dk1"/>
              </a:solidFill>
              <a:latin typeface="+mn-lt"/>
              <a:ea typeface="+mn-ea"/>
              <a:cs typeface="+mn-cs"/>
            </a:rPr>
            <a:t>=IF(Units &gt; 300, Amount * 0.9, Amount) </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الشروط: </a:t>
          </a:r>
          <a:r>
            <a:rPr lang="en-US" sz="3000" b="0">
              <a:solidFill>
                <a:schemeClr val="dk1"/>
              </a:solidFill>
              <a:latin typeface="+mn-lt"/>
              <a:ea typeface="+mn-ea"/>
              <a:cs typeface="+mn-cs"/>
            </a:rPr>
            <a:t>Units &gt; 300 </a:t>
          </a:r>
          <a:r>
            <a:rPr lang="ar-SA" sz="3000" b="0">
              <a:solidFill>
                <a:schemeClr val="dk1"/>
              </a:solidFill>
              <a:latin typeface="+mn-lt"/>
              <a:ea typeface="+mn-ea"/>
              <a:cs typeface="+mn-cs"/>
            </a:rPr>
            <a:t>تعني التحقق إذا كانت كمية الطلب أكبر من 300.</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النتيجة إذا تحقق الشرط: </a:t>
          </a:r>
          <a:r>
            <a:rPr lang="en-US" sz="3000" b="0">
              <a:solidFill>
                <a:schemeClr val="dk1"/>
              </a:solidFill>
              <a:latin typeface="+mn-lt"/>
              <a:ea typeface="+mn-ea"/>
              <a:cs typeface="+mn-cs"/>
            </a:rPr>
            <a:t>Amount * 0.9 (</a:t>
          </a:r>
          <a:r>
            <a:rPr lang="ar-SA" sz="3000" b="0">
              <a:solidFill>
                <a:schemeClr val="dk1"/>
              </a:solidFill>
              <a:latin typeface="+mn-lt"/>
              <a:ea typeface="+mn-ea"/>
              <a:cs typeface="+mn-cs"/>
            </a:rPr>
            <a:t>تطبيق خصم 10%)</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النتيجة إذا لم يتحقق الشرط: </a:t>
          </a:r>
          <a:r>
            <a:rPr lang="en-US" sz="3000" b="0">
              <a:solidFill>
                <a:schemeClr val="dk1"/>
              </a:solidFill>
              <a:latin typeface="+mn-lt"/>
              <a:ea typeface="+mn-ea"/>
              <a:cs typeface="+mn-cs"/>
            </a:rPr>
            <a:t>Amount (</a:t>
          </a:r>
          <a:r>
            <a:rPr lang="ar-SA" sz="3000" b="0">
              <a:solidFill>
                <a:schemeClr val="dk1"/>
              </a:solidFill>
              <a:latin typeface="+mn-lt"/>
              <a:ea typeface="+mn-ea"/>
              <a:cs typeface="+mn-cs"/>
            </a:rPr>
            <a:t>المبلغ يبقى كما هو)</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458510</xdr:colOff>
      <xdr:row>3</xdr:row>
      <xdr:rowOff>76449</xdr:rowOff>
    </xdr:from>
    <xdr:to>
      <xdr:col>4</xdr:col>
      <xdr:colOff>580592</xdr:colOff>
      <xdr:row>10</xdr:row>
      <xdr:rowOff>57399</xdr:rowOff>
    </xdr:to>
    <xdr:pic>
      <xdr:nvPicPr>
        <xdr:cNvPr id="3" name="Picture 2">
          <a:extLst>
            <a:ext uri="{FF2B5EF4-FFF2-40B4-BE49-F238E27FC236}">
              <a16:creationId xmlns:a16="http://schemas.microsoft.com/office/drawing/2014/main" id="{0CE17D44-B0AF-4964-A2CC-70B117C9603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8775"/>
        <a:stretch/>
      </xdr:blipFill>
      <xdr:spPr>
        <a:xfrm>
          <a:off x="458510" y="625089"/>
          <a:ext cx="2560482" cy="1261110"/>
        </a:xfrm>
        <a:prstGeom prst="rect">
          <a:avLst/>
        </a:prstGeom>
      </xdr:spPr>
    </xdr:pic>
    <xdr:clientData/>
  </xdr:twoCellAnchor>
  <xdr:twoCellAnchor>
    <xdr:from>
      <xdr:col>47</xdr:col>
      <xdr:colOff>171450</xdr:colOff>
      <xdr:row>7</xdr:row>
      <xdr:rowOff>178765</xdr:rowOff>
    </xdr:from>
    <xdr:to>
      <xdr:col>64</xdr:col>
      <xdr:colOff>171450</xdr:colOff>
      <xdr:row>88</xdr:row>
      <xdr:rowOff>111851</xdr:rowOff>
    </xdr:to>
    <xdr:sp macro="" textlink="">
      <xdr:nvSpPr>
        <xdr:cNvPr id="5" name="TextBox 4">
          <a:extLst>
            <a:ext uri="{FF2B5EF4-FFF2-40B4-BE49-F238E27FC236}">
              <a16:creationId xmlns:a16="http://schemas.microsoft.com/office/drawing/2014/main" id="{EF287E27-D7AB-412B-8452-53FCE49AA8B2}"/>
            </a:ext>
          </a:extLst>
        </xdr:cNvPr>
        <xdr:cNvSpPr txBox="1"/>
      </xdr:nvSpPr>
      <xdr:spPr>
        <a:xfrm>
          <a:off x="28822650" y="1458925"/>
          <a:ext cx="10363200" cy="15051166"/>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en-US" sz="4000" b="0">
              <a:solidFill>
                <a:schemeClr val="dk1"/>
              </a:solidFill>
              <a:latin typeface="+mn-lt"/>
              <a:ea typeface="+mn-ea"/>
              <a:cs typeface="+mn-cs"/>
            </a:rPr>
            <a:t>1. SUMIF</a:t>
          </a:r>
        </a:p>
        <a:p>
          <a:pPr marL="457200" lvl="1" indent="0" algn="r" rtl="1"/>
          <a:r>
            <a:rPr lang="ar-SA" sz="4000" b="0">
              <a:solidFill>
                <a:schemeClr val="dk1"/>
              </a:solidFill>
              <a:latin typeface="+mn-lt"/>
              <a:ea typeface="+mn-ea"/>
              <a:cs typeface="+mn-cs"/>
            </a:rPr>
            <a:t>الوصف: دالة </a:t>
          </a:r>
          <a:r>
            <a:rPr lang="en-US" sz="4000" b="0">
              <a:solidFill>
                <a:schemeClr val="dk1"/>
              </a:solidFill>
              <a:latin typeface="+mn-lt"/>
              <a:ea typeface="+mn-ea"/>
              <a:cs typeface="+mn-cs"/>
            </a:rPr>
            <a:t>SUMIF </a:t>
          </a:r>
          <a:r>
            <a:rPr lang="ar-SA" sz="4000" b="0">
              <a:solidFill>
                <a:schemeClr val="dk1"/>
              </a:solidFill>
              <a:latin typeface="+mn-lt"/>
              <a:ea typeface="+mn-ea"/>
              <a:cs typeface="+mn-cs"/>
            </a:rPr>
            <a:t>بتجمع الأرقام في نطاق معين بشرط معين. يعني بتجمع الأرقام اللي بتحقق الشرط اللي انت محدده.</a:t>
          </a:r>
        </a:p>
        <a:p>
          <a:pPr marL="457200" lvl="1" indent="0" algn="r" rtl="1"/>
          <a:r>
            <a:rPr lang="ar-SA" sz="4000" b="0">
              <a:solidFill>
                <a:schemeClr val="dk1"/>
              </a:solidFill>
              <a:latin typeface="+mn-lt"/>
              <a:ea typeface="+mn-ea"/>
              <a:cs typeface="+mn-cs"/>
            </a:rPr>
            <a:t>الصيغة:</a:t>
          </a:r>
        </a:p>
        <a:p>
          <a:pPr marL="457200" lvl="1" indent="0" algn="l" rtl="0"/>
          <a:endParaRPr lang="en-US" sz="4000" b="0">
            <a:solidFill>
              <a:schemeClr val="dk1"/>
            </a:solidFill>
            <a:latin typeface="+mn-lt"/>
            <a:ea typeface="+mn-ea"/>
            <a:cs typeface="+mn-cs"/>
          </a:endParaRPr>
        </a:p>
        <a:p>
          <a:pPr marL="457200" lvl="1" indent="0" algn="l" rtl="0"/>
          <a:r>
            <a:rPr lang="en-US" sz="4000" b="0">
              <a:solidFill>
                <a:schemeClr val="dk1"/>
              </a:solidFill>
              <a:latin typeface="+mn-lt"/>
              <a:ea typeface="+mn-ea"/>
              <a:cs typeface="+mn-cs"/>
            </a:rPr>
            <a:t>=SUMIF(range, criteria, [sum_range]) </a:t>
          </a:r>
        </a:p>
        <a:p>
          <a:pPr marL="457200" lvl="1" indent="0" algn="r" rtl="1"/>
          <a:r>
            <a:rPr lang="en-US" sz="4000" b="0">
              <a:solidFill>
                <a:schemeClr val="dk1"/>
              </a:solidFill>
              <a:latin typeface="+mn-lt"/>
              <a:ea typeface="+mn-ea"/>
              <a:cs typeface="+mn-cs"/>
            </a:rPr>
            <a:t>range: </a:t>
          </a:r>
          <a:r>
            <a:rPr lang="ar-SA" sz="4000" b="0">
              <a:solidFill>
                <a:schemeClr val="dk1"/>
              </a:solidFill>
              <a:latin typeface="+mn-lt"/>
              <a:ea typeface="+mn-ea"/>
              <a:cs typeface="+mn-cs"/>
            </a:rPr>
            <a:t>النطاق اللي فيه الشرط اللي عايز تتحقق منه.</a:t>
          </a:r>
        </a:p>
        <a:p>
          <a:pPr marL="457200" lvl="1" indent="0" algn="r" rtl="1"/>
          <a:r>
            <a:rPr lang="en-US" sz="4000" b="0">
              <a:solidFill>
                <a:schemeClr val="dk1"/>
              </a:solidFill>
              <a:latin typeface="+mn-lt"/>
              <a:ea typeface="+mn-ea"/>
              <a:cs typeface="+mn-cs"/>
            </a:rPr>
            <a:t>criteria: </a:t>
          </a:r>
          <a:r>
            <a:rPr lang="ar-SA" sz="4000" b="0">
              <a:solidFill>
                <a:schemeClr val="dk1"/>
              </a:solidFill>
              <a:latin typeface="+mn-lt"/>
              <a:ea typeface="+mn-ea"/>
              <a:cs typeface="+mn-cs"/>
            </a:rPr>
            <a:t>الشرط اللي هتتحقق منه.</a:t>
          </a:r>
        </a:p>
        <a:p>
          <a:pPr marL="457200" lvl="1" indent="0" algn="r" rtl="1"/>
          <a:r>
            <a:rPr lang="en-US" sz="4000" b="0">
              <a:solidFill>
                <a:schemeClr val="dk1"/>
              </a:solidFill>
              <a:latin typeface="+mn-lt"/>
              <a:ea typeface="+mn-ea"/>
              <a:cs typeface="+mn-cs"/>
            </a:rPr>
            <a:t>sum_range: (</a:t>
          </a:r>
          <a:r>
            <a:rPr lang="ar-SA" sz="4000" b="0">
              <a:solidFill>
                <a:schemeClr val="dk1"/>
              </a:solidFill>
              <a:latin typeface="+mn-lt"/>
              <a:ea typeface="+mn-ea"/>
              <a:cs typeface="+mn-cs"/>
            </a:rPr>
            <a:t>اختياري) النطاق اللي هتجمع منه القيم. لو ما حددتش، هيجمع من نفس النطاق اللي حددته في </a:t>
          </a:r>
          <a:r>
            <a:rPr lang="en-US" sz="4000" b="0">
              <a:solidFill>
                <a:schemeClr val="dk1"/>
              </a:solidFill>
              <a:latin typeface="+mn-lt"/>
              <a:ea typeface="+mn-ea"/>
              <a:cs typeface="+mn-cs"/>
            </a:rPr>
            <a:t>range.</a:t>
          </a:r>
        </a:p>
        <a:p>
          <a:pPr marL="457200" lvl="1" indent="0" algn="r" rtl="1"/>
          <a:endParaRPr lang="en-US" sz="4000" b="0">
            <a:solidFill>
              <a:schemeClr val="dk1"/>
            </a:solidFill>
            <a:latin typeface="+mn-lt"/>
            <a:ea typeface="+mn-ea"/>
            <a:cs typeface="+mn-cs"/>
          </a:endParaRPr>
        </a:p>
        <a:p>
          <a:pPr marL="457200" lvl="1" indent="0" algn="r" rtl="1"/>
          <a:r>
            <a:rPr lang="ar-SA" sz="4000" b="1">
              <a:solidFill>
                <a:srgbClr val="002060"/>
              </a:solidFill>
              <a:latin typeface="+mn-lt"/>
              <a:ea typeface="+mn-ea"/>
              <a:cs typeface="+mn-cs"/>
            </a:rPr>
            <a:t>مثال عملي:</a:t>
          </a:r>
          <a:r>
            <a:rPr lang="ar-SA" sz="4000" b="0">
              <a:solidFill>
                <a:schemeClr val="dk1"/>
              </a:solidFill>
              <a:latin typeface="+mn-lt"/>
              <a:ea typeface="+mn-ea"/>
              <a:cs typeface="+mn-cs"/>
            </a:rPr>
            <a:t> لو عندك قائمة مبيعات وفيها عمود "</a:t>
          </a:r>
          <a:r>
            <a:rPr lang="en-US" sz="4000" b="0">
              <a:solidFill>
                <a:schemeClr val="dk1"/>
              </a:solidFill>
              <a:latin typeface="+mn-lt"/>
              <a:ea typeface="+mn-ea"/>
              <a:cs typeface="+mn-cs"/>
            </a:rPr>
            <a:t>Geography" </a:t>
          </a:r>
          <a:r>
            <a:rPr lang="ar-SA" sz="4000" b="0">
              <a:solidFill>
                <a:schemeClr val="dk1"/>
              </a:solidFill>
              <a:latin typeface="+mn-lt"/>
              <a:ea typeface="+mn-ea"/>
              <a:cs typeface="+mn-cs"/>
            </a:rPr>
            <a:t>اللي فيه المناطق، وعمود "</a:t>
          </a:r>
          <a:r>
            <a:rPr lang="en-US" sz="4000" b="0">
              <a:solidFill>
                <a:schemeClr val="dk1"/>
              </a:solidFill>
              <a:latin typeface="+mn-lt"/>
              <a:ea typeface="+mn-ea"/>
              <a:cs typeface="+mn-cs"/>
            </a:rPr>
            <a:t>Amount" </a:t>
          </a:r>
          <a:r>
            <a:rPr lang="ar-SA" sz="4000" b="0">
              <a:solidFill>
                <a:schemeClr val="dk1"/>
              </a:solidFill>
              <a:latin typeface="+mn-lt"/>
              <a:ea typeface="+mn-ea"/>
              <a:cs typeface="+mn-cs"/>
            </a:rPr>
            <a:t>اللي فيه قيمة المبيعات، وعايز تجمع المبيعات اللي جاية من منطقة معينة، زي "</a:t>
          </a:r>
          <a:r>
            <a:rPr lang="en-US" sz="4000" b="0">
              <a:solidFill>
                <a:schemeClr val="dk1"/>
              </a:solidFill>
              <a:latin typeface="+mn-lt"/>
              <a:ea typeface="+mn-ea"/>
              <a:cs typeface="+mn-cs"/>
            </a:rPr>
            <a:t>Al Gharbia":</a:t>
          </a:r>
        </a:p>
        <a:p>
          <a:pPr marL="457200" lvl="1" indent="0" algn="l" rtl="0"/>
          <a:r>
            <a:rPr lang="en-US" sz="4000" b="0">
              <a:solidFill>
                <a:schemeClr val="dk1"/>
              </a:solidFill>
              <a:latin typeface="+mn-lt"/>
              <a:ea typeface="+mn-ea"/>
              <a:cs typeface="+mn-cs"/>
            </a:rPr>
            <a:t>=SUMIF(Geography, "Al Gharbia", Amount) </a:t>
          </a:r>
        </a:p>
        <a:p>
          <a:pPr marL="457200" lvl="1" indent="0" algn="r" rtl="1"/>
          <a:r>
            <a:rPr lang="ar-SA" sz="4000" b="0">
              <a:solidFill>
                <a:schemeClr val="dk1"/>
              </a:solidFill>
              <a:latin typeface="+mn-lt"/>
              <a:ea typeface="+mn-ea"/>
              <a:cs typeface="+mn-cs"/>
            </a:rPr>
            <a:t>في المثال ده، </a:t>
          </a:r>
          <a:r>
            <a:rPr lang="en-US" sz="4000" b="0">
              <a:solidFill>
                <a:schemeClr val="dk1"/>
              </a:solidFill>
              <a:latin typeface="+mn-lt"/>
              <a:ea typeface="+mn-ea"/>
              <a:cs typeface="+mn-cs"/>
            </a:rPr>
            <a:t>SUMIF </a:t>
          </a:r>
          <a:r>
            <a:rPr lang="ar-SA" sz="4000" b="0">
              <a:solidFill>
                <a:schemeClr val="dk1"/>
              </a:solidFill>
              <a:latin typeface="+mn-lt"/>
              <a:ea typeface="+mn-ea"/>
              <a:cs typeface="+mn-cs"/>
            </a:rPr>
            <a:t>هتجمع كل قيم "</a:t>
          </a:r>
          <a:r>
            <a:rPr lang="en-US" sz="4000" b="0">
              <a:solidFill>
                <a:schemeClr val="dk1"/>
              </a:solidFill>
              <a:latin typeface="+mn-lt"/>
              <a:ea typeface="+mn-ea"/>
              <a:cs typeface="+mn-cs"/>
            </a:rPr>
            <a:t>Amount" </a:t>
          </a:r>
          <a:r>
            <a:rPr lang="ar-SA" sz="4000" b="0">
              <a:solidFill>
                <a:schemeClr val="dk1"/>
              </a:solidFill>
              <a:latin typeface="+mn-lt"/>
              <a:ea typeface="+mn-ea"/>
              <a:cs typeface="+mn-cs"/>
            </a:rPr>
            <a:t>اللي بتكون المنطقة بتاعتها "</a:t>
          </a:r>
          <a:r>
            <a:rPr lang="en-US" sz="4000" b="0">
              <a:solidFill>
                <a:schemeClr val="dk1"/>
              </a:solidFill>
              <a:latin typeface="+mn-lt"/>
              <a:ea typeface="+mn-ea"/>
              <a:cs typeface="+mn-cs"/>
            </a:rPr>
            <a:t>Al Gharbia".</a:t>
          </a:r>
        </a:p>
        <a:p>
          <a:pPr marL="457200" lvl="1" indent="0" algn="r" rtl="1"/>
          <a:endParaRPr lang="en-US" sz="4000" b="0">
            <a:solidFill>
              <a:schemeClr val="dk1"/>
            </a:solidFill>
            <a:latin typeface="+mn-lt"/>
            <a:ea typeface="+mn-ea"/>
            <a:cs typeface="+mn-cs"/>
          </a:endParaRPr>
        </a:p>
      </xdr:txBody>
    </xdr:sp>
    <xdr:clientData/>
  </xdr:twoCellAnchor>
  <xdr:twoCellAnchor>
    <xdr:from>
      <xdr:col>27</xdr:col>
      <xdr:colOff>209550</xdr:colOff>
      <xdr:row>7</xdr:row>
      <xdr:rowOff>174955</xdr:rowOff>
    </xdr:from>
    <xdr:to>
      <xdr:col>44</xdr:col>
      <xdr:colOff>209550</xdr:colOff>
      <xdr:row>88</xdr:row>
      <xdr:rowOff>115661</xdr:rowOff>
    </xdr:to>
    <xdr:sp macro="" textlink="">
      <xdr:nvSpPr>
        <xdr:cNvPr id="10" name="TextBox 9">
          <a:extLst>
            <a:ext uri="{FF2B5EF4-FFF2-40B4-BE49-F238E27FC236}">
              <a16:creationId xmlns:a16="http://schemas.microsoft.com/office/drawing/2014/main" id="{1F07FC5E-1934-085C-4530-1109C5A3B280}"/>
            </a:ext>
          </a:extLst>
        </xdr:cNvPr>
        <xdr:cNvSpPr txBox="1"/>
      </xdr:nvSpPr>
      <xdr:spPr>
        <a:xfrm>
          <a:off x="16668750" y="1455115"/>
          <a:ext cx="10363200" cy="15058786"/>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en-US" sz="4000" b="0">
              <a:solidFill>
                <a:schemeClr val="dk1"/>
              </a:solidFill>
              <a:latin typeface="+mn-lt"/>
              <a:ea typeface="+mn-ea"/>
              <a:cs typeface="+mn-cs"/>
            </a:rPr>
            <a:t>2. COUNTIF</a:t>
          </a:r>
        </a:p>
        <a:p>
          <a:pPr marL="457200" lvl="1" indent="0" algn="r" rtl="1"/>
          <a:r>
            <a:rPr lang="ar-SA" sz="4000" b="0">
              <a:solidFill>
                <a:schemeClr val="dk1"/>
              </a:solidFill>
              <a:latin typeface="+mn-lt"/>
              <a:ea typeface="+mn-ea"/>
              <a:cs typeface="+mn-cs"/>
            </a:rPr>
            <a:t>الوصف: دالة </a:t>
          </a:r>
          <a:r>
            <a:rPr lang="en-US" sz="4000" b="0">
              <a:solidFill>
                <a:schemeClr val="dk1"/>
              </a:solidFill>
              <a:latin typeface="+mn-lt"/>
              <a:ea typeface="+mn-ea"/>
              <a:cs typeface="+mn-cs"/>
            </a:rPr>
            <a:t>COUNTIF </a:t>
          </a:r>
          <a:r>
            <a:rPr lang="ar-SA" sz="4000" b="0">
              <a:solidFill>
                <a:schemeClr val="dk1"/>
              </a:solidFill>
              <a:latin typeface="+mn-lt"/>
              <a:ea typeface="+mn-ea"/>
              <a:cs typeface="+mn-cs"/>
            </a:rPr>
            <a:t>بتعد عدد الخلايا اللي بتتحقق فيها شرط معين.</a:t>
          </a:r>
        </a:p>
        <a:p>
          <a:pPr marL="457200" lvl="1" indent="0" algn="r" rtl="1"/>
          <a:r>
            <a:rPr lang="ar-SA" sz="4000" b="0">
              <a:solidFill>
                <a:schemeClr val="dk1"/>
              </a:solidFill>
              <a:latin typeface="+mn-lt"/>
              <a:ea typeface="+mn-ea"/>
              <a:cs typeface="+mn-cs"/>
            </a:rPr>
            <a:t>الصيغة:</a:t>
          </a:r>
        </a:p>
        <a:p>
          <a:pPr marL="457200" lvl="1" indent="0" algn="l" rtl="0"/>
          <a:r>
            <a:rPr lang="en-US" sz="4000" b="0">
              <a:solidFill>
                <a:schemeClr val="dk1"/>
              </a:solidFill>
              <a:latin typeface="+mn-lt"/>
              <a:ea typeface="+mn-ea"/>
              <a:cs typeface="+mn-cs"/>
            </a:rPr>
            <a:t>=COUNTIF(range, criteria) </a:t>
          </a:r>
        </a:p>
        <a:p>
          <a:pPr marL="457200" lvl="1" indent="0" algn="r" rtl="1"/>
          <a:r>
            <a:rPr lang="en-US" sz="4000" b="0">
              <a:solidFill>
                <a:schemeClr val="dk1"/>
              </a:solidFill>
              <a:latin typeface="+mn-lt"/>
              <a:ea typeface="+mn-ea"/>
              <a:cs typeface="+mn-cs"/>
            </a:rPr>
            <a:t>range: </a:t>
          </a:r>
        </a:p>
        <a:p>
          <a:pPr marL="457200" lvl="1" indent="0" algn="r" rtl="1"/>
          <a:r>
            <a:rPr lang="ar-SA" sz="4000" b="0">
              <a:solidFill>
                <a:schemeClr val="dk1"/>
              </a:solidFill>
              <a:latin typeface="+mn-lt"/>
              <a:ea typeface="+mn-ea"/>
              <a:cs typeface="+mn-cs"/>
            </a:rPr>
            <a:t>النطاق اللي فيه الشرط اللي عايز تتحقق منه.</a:t>
          </a:r>
        </a:p>
        <a:p>
          <a:pPr marL="457200" lvl="1" indent="0" algn="r" rtl="1"/>
          <a:r>
            <a:rPr lang="en-US" sz="4000" b="0">
              <a:solidFill>
                <a:schemeClr val="dk1"/>
              </a:solidFill>
              <a:latin typeface="+mn-lt"/>
              <a:ea typeface="+mn-ea"/>
              <a:cs typeface="+mn-cs"/>
            </a:rPr>
            <a:t>criteria: </a:t>
          </a:r>
        </a:p>
        <a:p>
          <a:pPr marL="457200" lvl="1" indent="0" algn="r" rtl="1"/>
          <a:r>
            <a:rPr lang="ar-SA" sz="4000" b="0">
              <a:solidFill>
                <a:schemeClr val="dk1"/>
              </a:solidFill>
              <a:latin typeface="+mn-lt"/>
              <a:ea typeface="+mn-ea"/>
              <a:cs typeface="+mn-cs"/>
            </a:rPr>
            <a:t>الشرط اللي هتتحقق منه.</a:t>
          </a:r>
        </a:p>
        <a:p>
          <a:pPr marL="457200" lvl="1" indent="0" algn="r" rtl="1"/>
          <a:endParaRPr lang="en-US" sz="4000" b="0">
            <a:solidFill>
              <a:schemeClr val="dk1"/>
            </a:solidFill>
            <a:latin typeface="+mn-lt"/>
            <a:ea typeface="+mn-ea"/>
            <a:cs typeface="+mn-cs"/>
          </a:endParaRPr>
        </a:p>
        <a:p>
          <a:pPr marL="457200" lvl="1" indent="0" algn="r" rtl="1"/>
          <a:r>
            <a:rPr lang="ar-SA" sz="4000" b="1">
              <a:solidFill>
                <a:srgbClr val="002060"/>
              </a:solidFill>
              <a:latin typeface="+mn-lt"/>
              <a:ea typeface="+mn-ea"/>
              <a:cs typeface="+mn-cs"/>
            </a:rPr>
            <a:t>مثال عملي: </a:t>
          </a:r>
          <a:r>
            <a:rPr lang="ar-SA" sz="4000" b="0">
              <a:solidFill>
                <a:schemeClr val="dk1"/>
              </a:solidFill>
              <a:latin typeface="+mn-lt"/>
              <a:ea typeface="+mn-ea"/>
              <a:cs typeface="+mn-cs"/>
            </a:rPr>
            <a:t>لو عايز تعرف عدد المرات اللي تم فيها بيع منتج معين، زي "</a:t>
          </a:r>
          <a:r>
            <a:rPr lang="en-US" sz="4000" b="0">
              <a:solidFill>
                <a:schemeClr val="dk1"/>
              </a:solidFill>
              <a:latin typeface="+mn-lt"/>
              <a:ea typeface="+mn-ea"/>
              <a:cs typeface="+mn-cs"/>
            </a:rPr>
            <a:t>After Nines":</a:t>
          </a:r>
        </a:p>
        <a:p>
          <a:pPr marL="457200" lvl="1" indent="0" algn="l" rtl="0"/>
          <a:endParaRPr lang="en-US" sz="4000" b="0">
            <a:solidFill>
              <a:schemeClr val="dk1"/>
            </a:solidFill>
            <a:latin typeface="+mn-lt"/>
            <a:ea typeface="+mn-ea"/>
            <a:cs typeface="+mn-cs"/>
          </a:endParaRPr>
        </a:p>
        <a:p>
          <a:pPr marL="457200" lvl="1" indent="0" algn="l" rtl="0"/>
          <a:r>
            <a:rPr lang="en-US" sz="4000" b="0">
              <a:solidFill>
                <a:schemeClr val="dk1"/>
              </a:solidFill>
              <a:latin typeface="+mn-lt"/>
              <a:ea typeface="+mn-ea"/>
              <a:cs typeface="+mn-cs"/>
            </a:rPr>
            <a:t>=COUNTIF(Product, "After Nines") </a:t>
          </a:r>
        </a:p>
        <a:p>
          <a:pPr marL="457200" lvl="1" indent="0" algn="r" rtl="1"/>
          <a:r>
            <a:rPr lang="ar-SA" sz="4000" b="0">
              <a:solidFill>
                <a:schemeClr val="dk1"/>
              </a:solidFill>
              <a:latin typeface="+mn-lt"/>
              <a:ea typeface="+mn-ea"/>
              <a:cs typeface="+mn-cs"/>
            </a:rPr>
            <a:t>في المثال ده، </a:t>
          </a:r>
          <a:r>
            <a:rPr lang="en-US" sz="4000" b="0">
              <a:solidFill>
                <a:schemeClr val="dk1"/>
              </a:solidFill>
              <a:latin typeface="+mn-lt"/>
              <a:ea typeface="+mn-ea"/>
              <a:cs typeface="+mn-cs"/>
            </a:rPr>
            <a:t>COUNTIF </a:t>
          </a:r>
          <a:r>
            <a:rPr lang="ar-SA" sz="4000" b="0">
              <a:solidFill>
                <a:schemeClr val="dk1"/>
              </a:solidFill>
              <a:latin typeface="+mn-lt"/>
              <a:ea typeface="+mn-ea"/>
              <a:cs typeface="+mn-cs"/>
            </a:rPr>
            <a:t>هتعد عدد الخلايا اللي فيها كلمة "</a:t>
          </a:r>
          <a:r>
            <a:rPr lang="en-US" sz="4000" b="0">
              <a:solidFill>
                <a:schemeClr val="dk1"/>
              </a:solidFill>
              <a:latin typeface="+mn-lt"/>
              <a:ea typeface="+mn-ea"/>
              <a:cs typeface="+mn-cs"/>
            </a:rPr>
            <a:t>After Nines" </a:t>
          </a:r>
          <a:r>
            <a:rPr lang="ar-SA" sz="4000" b="0">
              <a:solidFill>
                <a:schemeClr val="dk1"/>
              </a:solidFill>
              <a:latin typeface="+mn-lt"/>
              <a:ea typeface="+mn-ea"/>
              <a:cs typeface="+mn-cs"/>
            </a:rPr>
            <a:t>في عمود "</a:t>
          </a:r>
          <a:r>
            <a:rPr lang="en-US" sz="4000" b="0">
              <a:solidFill>
                <a:schemeClr val="dk1"/>
              </a:solidFill>
              <a:latin typeface="+mn-lt"/>
              <a:ea typeface="+mn-ea"/>
              <a:cs typeface="+mn-cs"/>
            </a:rPr>
            <a:t>Product".</a:t>
          </a:r>
        </a:p>
      </xdr:txBody>
    </xdr:sp>
    <xdr:clientData/>
  </xdr:twoCellAnchor>
  <xdr:twoCellAnchor>
    <xdr:from>
      <xdr:col>7</xdr:col>
      <xdr:colOff>205740</xdr:colOff>
      <xdr:row>7</xdr:row>
      <xdr:rowOff>178765</xdr:rowOff>
    </xdr:from>
    <xdr:to>
      <xdr:col>24</xdr:col>
      <xdr:colOff>205740</xdr:colOff>
      <xdr:row>88</xdr:row>
      <xdr:rowOff>111851</xdr:rowOff>
    </xdr:to>
    <xdr:sp macro="" textlink="">
      <xdr:nvSpPr>
        <xdr:cNvPr id="11" name="TextBox 10">
          <a:extLst>
            <a:ext uri="{FF2B5EF4-FFF2-40B4-BE49-F238E27FC236}">
              <a16:creationId xmlns:a16="http://schemas.microsoft.com/office/drawing/2014/main" id="{A8C88847-C4A9-3310-362A-D4B43460811B}"/>
            </a:ext>
          </a:extLst>
        </xdr:cNvPr>
        <xdr:cNvSpPr txBox="1"/>
      </xdr:nvSpPr>
      <xdr:spPr>
        <a:xfrm>
          <a:off x="4472940" y="1458925"/>
          <a:ext cx="10363200" cy="15051166"/>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en-US" sz="4000" b="0">
              <a:solidFill>
                <a:schemeClr val="dk1"/>
              </a:solidFill>
              <a:latin typeface="+mn-lt"/>
              <a:ea typeface="+mn-ea"/>
              <a:cs typeface="+mn-cs"/>
            </a:rPr>
            <a:t>3. AVERAGEIF</a:t>
          </a:r>
        </a:p>
        <a:p>
          <a:pPr marL="457200" lvl="1" indent="0" algn="r" rtl="1"/>
          <a:r>
            <a:rPr lang="ar-SA" sz="4000" b="0">
              <a:solidFill>
                <a:schemeClr val="dk1"/>
              </a:solidFill>
              <a:latin typeface="+mn-lt"/>
              <a:ea typeface="+mn-ea"/>
              <a:cs typeface="+mn-cs"/>
            </a:rPr>
            <a:t>الوصف: دالة </a:t>
          </a:r>
          <a:r>
            <a:rPr lang="en-US" sz="4000" b="0">
              <a:solidFill>
                <a:schemeClr val="dk1"/>
              </a:solidFill>
              <a:latin typeface="+mn-lt"/>
              <a:ea typeface="+mn-ea"/>
              <a:cs typeface="+mn-cs"/>
            </a:rPr>
            <a:t>AVERAGEIF </a:t>
          </a:r>
          <a:r>
            <a:rPr lang="ar-SA" sz="4000" b="0">
              <a:solidFill>
                <a:schemeClr val="dk1"/>
              </a:solidFill>
              <a:latin typeface="+mn-lt"/>
              <a:ea typeface="+mn-ea"/>
              <a:cs typeface="+mn-cs"/>
            </a:rPr>
            <a:t>بتحسب المتوسط للأرقام في نطاق معين بشرط معين. يعني بتحسب متوسط الأرقام اللي بتحقق الشرط.</a:t>
          </a:r>
        </a:p>
        <a:p>
          <a:pPr marL="457200" lvl="1" indent="0" algn="r" rtl="1"/>
          <a:r>
            <a:rPr lang="ar-SA" sz="4000" b="0">
              <a:solidFill>
                <a:schemeClr val="dk1"/>
              </a:solidFill>
              <a:latin typeface="+mn-lt"/>
              <a:ea typeface="+mn-ea"/>
              <a:cs typeface="+mn-cs"/>
            </a:rPr>
            <a:t>الصيغة:</a:t>
          </a:r>
        </a:p>
        <a:p>
          <a:pPr marL="457200" lvl="1" indent="0" algn="l" rtl="0"/>
          <a:r>
            <a:rPr lang="en-US" sz="4000" b="0">
              <a:solidFill>
                <a:schemeClr val="dk1"/>
              </a:solidFill>
              <a:latin typeface="+mn-lt"/>
              <a:ea typeface="+mn-ea"/>
              <a:cs typeface="+mn-cs"/>
            </a:rPr>
            <a:t>=AVERAGEIF(range, criteria, [average_range]) </a:t>
          </a:r>
        </a:p>
        <a:p>
          <a:pPr marL="457200" lvl="1" indent="0" algn="r" rtl="1"/>
          <a:r>
            <a:rPr lang="en-US" sz="4000" b="0">
              <a:solidFill>
                <a:schemeClr val="dk1"/>
              </a:solidFill>
              <a:latin typeface="+mn-lt"/>
              <a:ea typeface="+mn-ea"/>
              <a:cs typeface="+mn-cs"/>
            </a:rPr>
            <a:t>range: </a:t>
          </a:r>
          <a:r>
            <a:rPr lang="ar-SA" sz="4000" b="0">
              <a:solidFill>
                <a:schemeClr val="dk1"/>
              </a:solidFill>
              <a:latin typeface="+mn-lt"/>
              <a:ea typeface="+mn-ea"/>
              <a:cs typeface="+mn-cs"/>
            </a:rPr>
            <a:t>النطاق اللي فيه الشرط اللي عايز تتحقق منه.</a:t>
          </a:r>
        </a:p>
        <a:p>
          <a:pPr marL="457200" lvl="1" indent="0" algn="r" rtl="1"/>
          <a:r>
            <a:rPr lang="en-US" sz="4000" b="0">
              <a:solidFill>
                <a:schemeClr val="dk1"/>
              </a:solidFill>
              <a:latin typeface="+mn-lt"/>
              <a:ea typeface="+mn-ea"/>
              <a:cs typeface="+mn-cs"/>
            </a:rPr>
            <a:t>criteria: </a:t>
          </a:r>
          <a:r>
            <a:rPr lang="ar-SA" sz="4000" b="0">
              <a:solidFill>
                <a:schemeClr val="dk1"/>
              </a:solidFill>
              <a:latin typeface="+mn-lt"/>
              <a:ea typeface="+mn-ea"/>
              <a:cs typeface="+mn-cs"/>
            </a:rPr>
            <a:t>الشرط اللي هتتحقق منه.</a:t>
          </a:r>
        </a:p>
        <a:p>
          <a:pPr marL="457200" lvl="1" indent="0" algn="r" rtl="1"/>
          <a:r>
            <a:rPr lang="en-US" sz="4000" b="0">
              <a:solidFill>
                <a:schemeClr val="dk1"/>
              </a:solidFill>
              <a:latin typeface="+mn-lt"/>
              <a:ea typeface="+mn-ea"/>
              <a:cs typeface="+mn-cs"/>
            </a:rPr>
            <a:t>average_range: (</a:t>
          </a:r>
          <a:r>
            <a:rPr lang="ar-SA" sz="4000" b="0">
              <a:solidFill>
                <a:schemeClr val="dk1"/>
              </a:solidFill>
              <a:latin typeface="+mn-lt"/>
              <a:ea typeface="+mn-ea"/>
              <a:cs typeface="+mn-cs"/>
            </a:rPr>
            <a:t>اختياري) النطاق اللي هتحسب منه المتوسط. لو ما حددتش، هيحسب المتوسط من نفس النطاق اللي حددته في </a:t>
          </a:r>
          <a:r>
            <a:rPr lang="en-US" sz="4000" b="0">
              <a:solidFill>
                <a:schemeClr val="dk1"/>
              </a:solidFill>
              <a:latin typeface="+mn-lt"/>
              <a:ea typeface="+mn-ea"/>
              <a:cs typeface="+mn-cs"/>
            </a:rPr>
            <a:t>range.</a:t>
          </a:r>
        </a:p>
        <a:p>
          <a:pPr marL="457200" lvl="1" indent="0" algn="r" rtl="1"/>
          <a:endParaRPr lang="en-US" sz="4000" b="0">
            <a:solidFill>
              <a:schemeClr val="dk1"/>
            </a:solidFill>
            <a:latin typeface="+mn-lt"/>
            <a:ea typeface="+mn-ea"/>
            <a:cs typeface="+mn-cs"/>
          </a:endParaRPr>
        </a:p>
        <a:p>
          <a:pPr marL="457200" lvl="1" indent="0" algn="r" rtl="1"/>
          <a:r>
            <a:rPr lang="ar-SA" sz="4000" b="1">
              <a:solidFill>
                <a:srgbClr val="002060"/>
              </a:solidFill>
              <a:latin typeface="+mn-lt"/>
              <a:ea typeface="+mn-ea"/>
              <a:cs typeface="+mn-cs"/>
            </a:rPr>
            <a:t>مثال عملي: </a:t>
          </a:r>
          <a:r>
            <a:rPr lang="ar-SA" sz="4000" b="0">
              <a:solidFill>
                <a:schemeClr val="dk1"/>
              </a:solidFill>
              <a:latin typeface="+mn-lt"/>
              <a:ea typeface="+mn-ea"/>
              <a:cs typeface="+mn-cs"/>
            </a:rPr>
            <a:t>لو عايز تعرف متوسط المبيعات لقيم "</a:t>
          </a:r>
          <a:r>
            <a:rPr lang="en-US" sz="4000" b="0">
              <a:solidFill>
                <a:schemeClr val="dk1"/>
              </a:solidFill>
              <a:latin typeface="+mn-lt"/>
              <a:ea typeface="+mn-ea"/>
              <a:cs typeface="+mn-cs"/>
            </a:rPr>
            <a:t>Amount" </a:t>
          </a:r>
          <a:r>
            <a:rPr lang="ar-SA" sz="4000" b="0">
              <a:solidFill>
                <a:schemeClr val="dk1"/>
              </a:solidFill>
              <a:latin typeface="+mn-lt"/>
              <a:ea typeface="+mn-ea"/>
              <a:cs typeface="+mn-cs"/>
            </a:rPr>
            <a:t>في منطقة "</a:t>
          </a:r>
          <a:r>
            <a:rPr lang="en-US" sz="4000" b="0">
              <a:solidFill>
                <a:schemeClr val="dk1"/>
              </a:solidFill>
              <a:latin typeface="+mn-lt"/>
              <a:ea typeface="+mn-ea"/>
              <a:cs typeface="+mn-cs"/>
            </a:rPr>
            <a:t>Al sharqia":</a:t>
          </a:r>
        </a:p>
        <a:p>
          <a:pPr marL="457200" lvl="1" indent="0" algn="l" rtl="0"/>
          <a:endParaRPr lang="en-US" sz="4000" b="0">
            <a:solidFill>
              <a:schemeClr val="dk1"/>
            </a:solidFill>
            <a:latin typeface="+mn-lt"/>
            <a:ea typeface="+mn-ea"/>
            <a:cs typeface="+mn-cs"/>
          </a:endParaRPr>
        </a:p>
        <a:p>
          <a:pPr marL="457200" lvl="1" indent="0" algn="l" rtl="0"/>
          <a:r>
            <a:rPr lang="en-US" sz="4000" b="0">
              <a:solidFill>
                <a:schemeClr val="dk1"/>
              </a:solidFill>
              <a:latin typeface="+mn-lt"/>
              <a:ea typeface="+mn-ea"/>
              <a:cs typeface="+mn-cs"/>
            </a:rPr>
            <a:t>=AVERAGEIF(Geography, "Al sharqia", Amount) </a:t>
          </a:r>
        </a:p>
        <a:p>
          <a:pPr marL="457200" lvl="1" indent="0" algn="l" rtl="0"/>
          <a:endParaRPr lang="en-US" sz="4000" b="0">
            <a:solidFill>
              <a:schemeClr val="dk1"/>
            </a:solidFill>
            <a:latin typeface="+mn-lt"/>
            <a:ea typeface="+mn-ea"/>
            <a:cs typeface="+mn-cs"/>
          </a:endParaRPr>
        </a:p>
        <a:p>
          <a:pPr marL="457200" lvl="1" indent="0" algn="r" rtl="1"/>
          <a:r>
            <a:rPr lang="ar-SA" sz="4000" b="0">
              <a:solidFill>
                <a:schemeClr val="dk1"/>
              </a:solidFill>
              <a:latin typeface="+mn-lt"/>
              <a:ea typeface="+mn-ea"/>
              <a:cs typeface="+mn-cs"/>
            </a:rPr>
            <a:t>في المثال ده، </a:t>
          </a:r>
          <a:r>
            <a:rPr lang="en-US" sz="4000" b="0">
              <a:solidFill>
                <a:schemeClr val="dk1"/>
              </a:solidFill>
              <a:latin typeface="+mn-lt"/>
              <a:ea typeface="+mn-ea"/>
              <a:cs typeface="+mn-cs"/>
            </a:rPr>
            <a:t>AVERAGEIF </a:t>
          </a:r>
          <a:r>
            <a:rPr lang="ar-SA" sz="4000" b="0">
              <a:solidFill>
                <a:schemeClr val="dk1"/>
              </a:solidFill>
              <a:latin typeface="+mn-lt"/>
              <a:ea typeface="+mn-ea"/>
              <a:cs typeface="+mn-cs"/>
            </a:rPr>
            <a:t>هتحسب متوسط قيم "</a:t>
          </a:r>
          <a:r>
            <a:rPr lang="en-US" sz="4000" b="0">
              <a:solidFill>
                <a:schemeClr val="dk1"/>
              </a:solidFill>
              <a:latin typeface="+mn-lt"/>
              <a:ea typeface="+mn-ea"/>
              <a:cs typeface="+mn-cs"/>
            </a:rPr>
            <a:t>Amount" </a:t>
          </a:r>
          <a:r>
            <a:rPr lang="ar-SA" sz="4000" b="0">
              <a:solidFill>
                <a:schemeClr val="dk1"/>
              </a:solidFill>
              <a:latin typeface="+mn-lt"/>
              <a:ea typeface="+mn-ea"/>
              <a:cs typeface="+mn-cs"/>
            </a:rPr>
            <a:t>اللي بتحقق الشرط "</a:t>
          </a:r>
          <a:r>
            <a:rPr lang="en-US" sz="4000" b="0">
              <a:solidFill>
                <a:schemeClr val="dk1"/>
              </a:solidFill>
              <a:latin typeface="+mn-lt"/>
              <a:ea typeface="+mn-ea"/>
              <a:cs typeface="+mn-cs"/>
            </a:rPr>
            <a:t>Al sharqia" </a:t>
          </a:r>
          <a:r>
            <a:rPr lang="ar-SA" sz="4000" b="0">
              <a:solidFill>
                <a:schemeClr val="dk1"/>
              </a:solidFill>
              <a:latin typeface="+mn-lt"/>
              <a:ea typeface="+mn-ea"/>
              <a:cs typeface="+mn-cs"/>
            </a:rPr>
            <a:t>في عمود "</a:t>
          </a:r>
          <a:r>
            <a:rPr lang="en-US" sz="4000" b="0">
              <a:solidFill>
                <a:schemeClr val="dk1"/>
              </a:solidFill>
              <a:latin typeface="+mn-lt"/>
              <a:ea typeface="+mn-ea"/>
              <a:cs typeface="+mn-cs"/>
            </a:rPr>
            <a:t>Geography".</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244333</xdr:colOff>
      <xdr:row>0</xdr:row>
      <xdr:rowOff>2424</xdr:rowOff>
    </xdr:from>
    <xdr:to>
      <xdr:col>3</xdr:col>
      <xdr:colOff>76533</xdr:colOff>
      <xdr:row>2</xdr:row>
      <xdr:rowOff>55584</xdr:rowOff>
    </xdr:to>
    <xdr:pic>
      <xdr:nvPicPr>
        <xdr:cNvPr id="2" name="Picture 1">
          <a:extLst>
            <a:ext uri="{FF2B5EF4-FFF2-40B4-BE49-F238E27FC236}">
              <a16:creationId xmlns:a16="http://schemas.microsoft.com/office/drawing/2014/main" id="{8F528FB3-F089-4739-9D40-4FABC8C6B56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8775"/>
        <a:stretch/>
      </xdr:blipFill>
      <xdr:spPr>
        <a:xfrm>
          <a:off x="411973" y="2424"/>
          <a:ext cx="838040" cy="4189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244333</xdr:colOff>
      <xdr:row>0</xdr:row>
      <xdr:rowOff>2424</xdr:rowOff>
    </xdr:from>
    <xdr:to>
      <xdr:col>3</xdr:col>
      <xdr:colOff>76533</xdr:colOff>
      <xdr:row>2</xdr:row>
      <xdr:rowOff>55584</xdr:rowOff>
    </xdr:to>
    <xdr:pic>
      <xdr:nvPicPr>
        <xdr:cNvPr id="2" name="Picture 1">
          <a:extLst>
            <a:ext uri="{FF2B5EF4-FFF2-40B4-BE49-F238E27FC236}">
              <a16:creationId xmlns:a16="http://schemas.microsoft.com/office/drawing/2014/main" id="{176B1B3B-7736-49BB-8541-16C145F236C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8775"/>
        <a:stretch/>
      </xdr:blipFill>
      <xdr:spPr>
        <a:xfrm>
          <a:off x="414318" y="2424"/>
          <a:ext cx="834523" cy="4165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CC46C5-927B-43CB-B244-6BA9EA380353}" name="Table1" displayName="Table1" ref="E4:Q319" totalsRowShown="0" headerRowDxfId="11" dataDxfId="10">
  <autoFilter ref="E4:Q319" xr:uid="{2ECC46C5-927B-43CB-B244-6BA9EA380353}"/>
  <tableColumns count="13">
    <tableColumn id="1" xr3:uid="{0F32140B-98B7-403C-B9A1-6A8D91100EC4}" name="Order-ID" dataDxfId="17"/>
    <tableColumn id="2" xr3:uid="{11E6E748-1946-4DBA-858E-6DD169BEBB96}" name="Sales Person" dataDxfId="16"/>
    <tableColumn id="3" xr3:uid="{2D57E191-2530-4F4C-A9D8-7FBC1FD5B1E1}" name="Geography" dataDxfId="15"/>
    <tableColumn id="4" xr3:uid="{E09E8BBD-808C-4CD4-B45F-B5AC4BEA0986}" name="Product" dataDxfId="14"/>
    <tableColumn id="5" xr3:uid="{9C016C18-7EFA-49D3-96DC-B6AC951B637E}" name="Amount" dataDxfId="13"/>
    <tableColumn id="6" xr3:uid="{77E1E3B6-0030-4D66-8D76-1BD6C362E31A}" name="Units" dataDxfId="12"/>
    <tableColumn id="7" xr3:uid="{8B1567F5-6FC9-4F9E-8027-BC236F268E59}" name="Order date " dataDxfId="7"/>
    <tableColumn id="13" xr3:uid="{183CF390-9D9C-4A10-8691-4BB60F318833}" name="Month" dataDxfId="5">
      <calculatedColumnFormula>MONTH(Table1[[#This Row],[Order date ]])</calculatedColumnFormula>
    </tableColumn>
    <tableColumn id="8" xr3:uid="{8A36D88C-D8AD-4E12-A009-0238BF14D8AA}" name="Month Name" dataDxfId="6">
      <calculatedColumnFormula>TEXT(Table1[[#This Row],[Order date ]],"MMM")</calculatedColumnFormula>
    </tableColumn>
    <tableColumn id="9" xr3:uid="{F5DC15EB-D773-47A8-981E-EEF029E0D115}" name="Day Name" dataDxfId="9">
      <calculatedColumnFormula>TEXT(Table1[[#This Row],[Order date ]],"DDD")</calculatedColumnFormula>
    </tableColumn>
    <tableColumn id="12" xr3:uid="{CAD6D16C-5304-4CB9-808F-F2CCABB80CD6}" name="Quarter" dataDxfId="4">
      <calculatedColumnFormula>_xlfn.CONCAT("Q",ROUNDUP(Table1[[#This Row],[Month]]/3,0))</calculatedColumnFormula>
    </tableColumn>
    <tableColumn id="10" xr3:uid="{CC19339B-6490-46EB-B79A-F071CE24A777}" name="Total Sales" dataDxfId="8" dataCellStyle="Comma">
      <calculatedColumnFormula>Table1[[#This Row],[Amount]]*Table1[[#This Row],[Units]]</calculatedColumnFormula>
    </tableColumn>
    <tableColumn id="14" xr3:uid="{930847C9-B5DF-4792-A486-8112A62F135C}" name="Sales classification" dataDxfId="3">
      <calculatedColumnFormula>IF(Table1[[#This Row],[Total Sales]]&lt;AVERAGE(Table1[Total Sales]),"Low","High")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847C2-4B7A-4CE7-BC3E-E5CD45DAE409}">
  <dimension ref="C14:F31"/>
  <sheetViews>
    <sheetView showGridLines="0" zoomScale="70" zoomScaleNormal="70" workbookViewId="0">
      <selection activeCell="Z4" sqref="Z4"/>
    </sheetView>
  </sheetViews>
  <sheetFormatPr defaultRowHeight="14.4" x14ac:dyDescent="0.3"/>
  <sheetData>
    <row r="14" spans="3:6" ht="18" x14ac:dyDescent="0.35">
      <c r="C14" s="7">
        <v>20</v>
      </c>
      <c r="D14" s="7"/>
      <c r="E14" s="7">
        <f>C14+C15</f>
        <v>50</v>
      </c>
      <c r="F14" s="7"/>
    </row>
    <row r="15" spans="3:6" ht="18" x14ac:dyDescent="0.35">
      <c r="C15" s="7">
        <v>30</v>
      </c>
      <c r="D15" s="7"/>
      <c r="E15" s="7"/>
      <c r="F15" s="7"/>
    </row>
    <row r="16" spans="3:6" ht="18" x14ac:dyDescent="0.35">
      <c r="C16" s="7"/>
      <c r="D16" s="7"/>
      <c r="E16" s="7"/>
      <c r="F16" s="7"/>
    </row>
    <row r="30" spans="3:5" ht="18" x14ac:dyDescent="0.35">
      <c r="C30" s="7">
        <v>20</v>
      </c>
    </row>
    <row r="31" spans="3:5" ht="18" x14ac:dyDescent="0.35">
      <c r="C31" s="7">
        <v>30</v>
      </c>
      <c r="E31" s="7">
        <f>AVERAGE(C30:C31)</f>
        <v>25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B00E5-36D0-4A0F-AF5A-BCAE6CF4D61E}">
  <dimension ref="C14:F31"/>
  <sheetViews>
    <sheetView showGridLines="0" topLeftCell="G1" zoomScale="55" zoomScaleNormal="55" workbookViewId="0">
      <selection activeCell="AB6" sqref="AB6"/>
    </sheetView>
  </sheetViews>
  <sheetFormatPr defaultRowHeight="14.4" x14ac:dyDescent="0.3"/>
  <sheetData>
    <row r="14" spans="3:6" ht="18" x14ac:dyDescent="0.35">
      <c r="C14" s="7"/>
      <c r="D14" s="7"/>
      <c r="E14" s="7"/>
      <c r="F14" s="7"/>
    </row>
    <row r="15" spans="3:6" ht="18" x14ac:dyDescent="0.35">
      <c r="C15" s="7"/>
      <c r="D15" s="7"/>
      <c r="E15" s="7"/>
      <c r="F15" s="7"/>
    </row>
    <row r="16" spans="3:6" ht="18" x14ac:dyDescent="0.35">
      <c r="C16" s="7"/>
      <c r="D16" s="7"/>
      <c r="E16" s="7"/>
      <c r="F16" s="7"/>
    </row>
    <row r="30" spans="3:5" ht="18" x14ac:dyDescent="0.35">
      <c r="C30" s="7"/>
    </row>
    <row r="31" spans="3:5" ht="18" x14ac:dyDescent="0.35">
      <c r="C31" s="7"/>
      <c r="E31" s="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38F54-D4A0-407A-98B2-7F69EF2266B9}">
  <dimension ref="C14:F31"/>
  <sheetViews>
    <sheetView showGridLines="0" topLeftCell="E30" zoomScale="70" zoomScaleNormal="70" workbookViewId="0">
      <selection activeCell="U57" sqref="U57"/>
    </sheetView>
  </sheetViews>
  <sheetFormatPr defaultRowHeight="14.4" x14ac:dyDescent="0.3"/>
  <sheetData>
    <row r="14" spans="3:6" ht="18" x14ac:dyDescent="0.35">
      <c r="C14" s="7"/>
      <c r="D14" s="7"/>
      <c r="E14" s="7"/>
      <c r="F14" s="7"/>
    </row>
    <row r="15" spans="3:6" ht="18" x14ac:dyDescent="0.35">
      <c r="C15" s="7"/>
      <c r="D15" s="7"/>
      <c r="E15" s="7"/>
      <c r="F15" s="7"/>
    </row>
    <row r="16" spans="3:6" ht="18" x14ac:dyDescent="0.35">
      <c r="C16" s="7"/>
      <c r="D16" s="7"/>
      <c r="E16" s="7"/>
      <c r="F16" s="7"/>
    </row>
    <row r="30" spans="3:5" ht="18" x14ac:dyDescent="0.35">
      <c r="C30" s="7"/>
    </row>
    <row r="31" spans="3:5" ht="18" x14ac:dyDescent="0.35">
      <c r="C31" s="7"/>
      <c r="E31"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AB269-7112-49F9-8C0C-5AB14B53CA86}">
  <dimension ref="C14:F31"/>
  <sheetViews>
    <sheetView showGridLines="0" zoomScale="25" zoomScaleNormal="25" workbookViewId="0">
      <selection activeCell="CL8" sqref="CL8"/>
    </sheetView>
  </sheetViews>
  <sheetFormatPr defaultRowHeight="14.4" x14ac:dyDescent="0.3"/>
  <sheetData>
    <row r="14" spans="3:6" ht="18" x14ac:dyDescent="0.35">
      <c r="C14" s="7"/>
      <c r="D14" s="7"/>
      <c r="E14" s="7"/>
      <c r="F14" s="7"/>
    </row>
    <row r="15" spans="3:6" ht="18" x14ac:dyDescent="0.35">
      <c r="C15" s="7"/>
      <c r="D15" s="7"/>
      <c r="E15" s="7"/>
      <c r="F15" s="7"/>
    </row>
    <row r="16" spans="3:6" ht="18" x14ac:dyDescent="0.35">
      <c r="C16" s="7"/>
      <c r="D16" s="7"/>
      <c r="E16" s="7"/>
      <c r="F16" s="7"/>
    </row>
    <row r="30" spans="3:5" ht="18" x14ac:dyDescent="0.35">
      <c r="C30" s="7"/>
    </row>
    <row r="31" spans="3:5" ht="18" x14ac:dyDescent="0.35">
      <c r="C31" s="7"/>
      <c r="E31"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470A3-17F9-4D79-BEEE-C437CAD061D8}">
  <dimension ref="C14:F31"/>
  <sheetViews>
    <sheetView showGridLines="0" zoomScale="25" zoomScaleNormal="25" workbookViewId="0">
      <selection activeCell="BQ112" sqref="BQ112"/>
    </sheetView>
  </sheetViews>
  <sheetFormatPr defaultRowHeight="14.4" x14ac:dyDescent="0.3"/>
  <sheetData>
    <row r="14" spans="3:6" ht="18" x14ac:dyDescent="0.35">
      <c r="C14" s="7"/>
      <c r="D14" s="7"/>
      <c r="E14" s="7"/>
      <c r="F14" s="7"/>
    </row>
    <row r="15" spans="3:6" ht="18" x14ac:dyDescent="0.35">
      <c r="C15" s="7"/>
      <c r="D15" s="7"/>
      <c r="E15" s="7"/>
      <c r="F15" s="7"/>
    </row>
    <row r="16" spans="3:6" ht="18" x14ac:dyDescent="0.35">
      <c r="C16" s="7"/>
      <c r="D16" s="7"/>
      <c r="E16" s="7"/>
      <c r="F16" s="7"/>
    </row>
    <row r="30" spans="3:5" ht="18" x14ac:dyDescent="0.35">
      <c r="C30" s="7"/>
    </row>
    <row r="31" spans="3:5" ht="18" x14ac:dyDescent="0.35">
      <c r="C31" s="7"/>
      <c r="E31" s="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9100D-53A4-4479-9213-07963FCFDC9C}">
  <dimension ref="E4:K340"/>
  <sheetViews>
    <sheetView zoomScale="130" zoomScaleNormal="130" workbookViewId="0">
      <selection activeCell="K9" sqref="K9"/>
    </sheetView>
  </sheetViews>
  <sheetFormatPr defaultRowHeight="14.4" x14ac:dyDescent="0.3"/>
  <cols>
    <col min="1" max="1" width="2.44140625" customWidth="1"/>
    <col min="2" max="2" width="4.88671875" customWidth="1"/>
    <col min="3" max="3" width="9.77734375" customWidth="1"/>
    <col min="4" max="4" width="11.5546875" bestFit="1" customWidth="1"/>
    <col min="5" max="5" width="8.109375" bestFit="1" customWidth="1"/>
    <col min="6" max="6" width="7.44140625" bestFit="1" customWidth="1"/>
    <col min="7" max="7" width="5.21875" bestFit="1" customWidth="1"/>
    <col min="8" max="8" width="4.77734375" customWidth="1"/>
  </cols>
  <sheetData>
    <row r="4" spans="5:11" x14ac:dyDescent="0.3">
      <c r="E4" t="s">
        <v>47</v>
      </c>
      <c r="F4" t="s">
        <v>4</v>
      </c>
      <c r="G4" t="s">
        <v>5</v>
      </c>
      <c r="H4" t="s">
        <v>0</v>
      </c>
      <c r="I4" t="s">
        <v>1</v>
      </c>
      <c r="J4" t="s">
        <v>27</v>
      </c>
      <c r="K4" t="s">
        <v>46</v>
      </c>
    </row>
    <row r="5" spans="5:11" x14ac:dyDescent="0.3">
      <c r="E5">
        <v>1</v>
      </c>
      <c r="F5" t="s">
        <v>36</v>
      </c>
      <c r="G5" t="s">
        <v>40</v>
      </c>
      <c r="H5" t="s">
        <v>23</v>
      </c>
      <c r="I5">
        <v>1624</v>
      </c>
      <c r="J5">
        <v>114</v>
      </c>
      <c r="K5" s="4">
        <v>44927</v>
      </c>
    </row>
    <row r="6" spans="5:11" x14ac:dyDescent="0.3">
      <c r="E6">
        <v>2</v>
      </c>
      <c r="F6" t="s">
        <v>29</v>
      </c>
      <c r="G6" t="s">
        <v>45</v>
      </c>
      <c r="H6" t="s">
        <v>25</v>
      </c>
      <c r="I6">
        <v>6706</v>
      </c>
      <c r="J6">
        <v>459</v>
      </c>
      <c r="K6" s="4">
        <v>44928</v>
      </c>
    </row>
    <row r="7" spans="5:11" x14ac:dyDescent="0.3">
      <c r="E7">
        <v>3</v>
      </c>
      <c r="F7" t="s">
        <v>3</v>
      </c>
      <c r="G7" t="s">
        <v>45</v>
      </c>
      <c r="H7" t="s">
        <v>2</v>
      </c>
      <c r="I7">
        <v>959</v>
      </c>
      <c r="J7">
        <v>147</v>
      </c>
      <c r="K7" s="4">
        <v>44929</v>
      </c>
    </row>
    <row r="8" spans="5:11" x14ac:dyDescent="0.3">
      <c r="E8">
        <v>4</v>
      </c>
      <c r="F8" t="s">
        <v>30</v>
      </c>
      <c r="G8" t="s">
        <v>38</v>
      </c>
      <c r="H8" t="s">
        <v>11</v>
      </c>
      <c r="I8">
        <v>9632</v>
      </c>
      <c r="J8">
        <v>288</v>
      </c>
      <c r="K8" s="4">
        <v>44930</v>
      </c>
    </row>
    <row r="9" spans="5:11" x14ac:dyDescent="0.3">
      <c r="E9">
        <v>5</v>
      </c>
      <c r="F9" t="s">
        <v>32</v>
      </c>
      <c r="G9" t="s">
        <v>43</v>
      </c>
      <c r="H9" t="s">
        <v>18</v>
      </c>
      <c r="I9">
        <v>2100</v>
      </c>
      <c r="J9">
        <v>414</v>
      </c>
      <c r="K9" s="4">
        <v>44931</v>
      </c>
    </row>
    <row r="10" spans="5:11" x14ac:dyDescent="0.3">
      <c r="E10">
        <v>6</v>
      </c>
      <c r="F10" t="s">
        <v>36</v>
      </c>
      <c r="G10" t="s">
        <v>45</v>
      </c>
      <c r="H10" t="s">
        <v>26</v>
      </c>
      <c r="I10">
        <v>8869</v>
      </c>
      <c r="J10">
        <v>432</v>
      </c>
      <c r="K10" s="4">
        <v>44932</v>
      </c>
    </row>
    <row r="11" spans="5:11" x14ac:dyDescent="0.3">
      <c r="E11">
        <v>7</v>
      </c>
      <c r="F11" t="s">
        <v>32</v>
      </c>
      <c r="G11" t="s">
        <v>37</v>
      </c>
      <c r="H11" t="s">
        <v>24</v>
      </c>
      <c r="I11">
        <v>2681</v>
      </c>
      <c r="J11">
        <v>54</v>
      </c>
      <c r="K11" s="4">
        <v>44933</v>
      </c>
    </row>
    <row r="12" spans="5:11" x14ac:dyDescent="0.3">
      <c r="E12">
        <v>8</v>
      </c>
      <c r="F12" t="s">
        <v>29</v>
      </c>
      <c r="G12" t="s">
        <v>45</v>
      </c>
      <c r="H12" t="s">
        <v>15</v>
      </c>
      <c r="I12">
        <v>5012</v>
      </c>
      <c r="J12">
        <v>210</v>
      </c>
      <c r="K12" s="4">
        <v>44934</v>
      </c>
    </row>
    <row r="13" spans="5:11" x14ac:dyDescent="0.3">
      <c r="E13">
        <v>9</v>
      </c>
      <c r="F13" t="s">
        <v>31</v>
      </c>
      <c r="G13" t="s">
        <v>37</v>
      </c>
      <c r="H13" t="s">
        <v>7</v>
      </c>
      <c r="I13">
        <v>1281</v>
      </c>
      <c r="J13">
        <v>75</v>
      </c>
      <c r="K13" s="4">
        <v>44935</v>
      </c>
    </row>
    <row r="14" spans="5:11" x14ac:dyDescent="0.3">
      <c r="E14">
        <v>10</v>
      </c>
      <c r="F14" t="s">
        <v>33</v>
      </c>
      <c r="G14" t="s">
        <v>41</v>
      </c>
      <c r="H14" t="s">
        <v>7</v>
      </c>
      <c r="I14">
        <v>4991</v>
      </c>
      <c r="J14">
        <v>12</v>
      </c>
      <c r="K14" s="4">
        <v>44936</v>
      </c>
    </row>
    <row r="15" spans="5:11" x14ac:dyDescent="0.3">
      <c r="E15">
        <v>11</v>
      </c>
      <c r="F15" t="s">
        <v>28</v>
      </c>
      <c r="G15" t="s">
        <v>44</v>
      </c>
      <c r="H15" t="s">
        <v>18</v>
      </c>
      <c r="I15">
        <v>1785</v>
      </c>
      <c r="J15">
        <v>462</v>
      </c>
      <c r="K15" s="4">
        <v>44937</v>
      </c>
    </row>
    <row r="16" spans="5:11" x14ac:dyDescent="0.3">
      <c r="E16">
        <v>12</v>
      </c>
      <c r="F16" t="s">
        <v>34</v>
      </c>
      <c r="G16" t="s">
        <v>42</v>
      </c>
      <c r="H16" t="s">
        <v>10</v>
      </c>
      <c r="I16">
        <v>3983</v>
      </c>
      <c r="J16">
        <v>144</v>
      </c>
      <c r="K16" s="4">
        <v>44938</v>
      </c>
    </row>
    <row r="17" spans="5:11" x14ac:dyDescent="0.3">
      <c r="E17">
        <v>13</v>
      </c>
      <c r="F17" t="s">
        <v>3</v>
      </c>
      <c r="G17" t="s">
        <v>37</v>
      </c>
      <c r="H17" t="s">
        <v>9</v>
      </c>
      <c r="I17">
        <v>2646</v>
      </c>
      <c r="J17">
        <v>120</v>
      </c>
      <c r="K17" s="4">
        <v>44939</v>
      </c>
    </row>
    <row r="18" spans="5:11" x14ac:dyDescent="0.3">
      <c r="E18">
        <v>14</v>
      </c>
      <c r="F18" t="s">
        <v>28</v>
      </c>
      <c r="G18" t="s">
        <v>39</v>
      </c>
      <c r="H18" t="s">
        <v>6</v>
      </c>
      <c r="I18">
        <v>252</v>
      </c>
      <c r="J18">
        <v>54</v>
      </c>
      <c r="K18" s="4">
        <v>44940</v>
      </c>
    </row>
    <row r="19" spans="5:11" x14ac:dyDescent="0.3">
      <c r="E19">
        <v>15</v>
      </c>
      <c r="F19" t="s">
        <v>34</v>
      </c>
      <c r="G19" t="s">
        <v>45</v>
      </c>
      <c r="H19" t="s">
        <v>18</v>
      </c>
      <c r="I19">
        <v>2464</v>
      </c>
      <c r="J19">
        <v>234</v>
      </c>
      <c r="K19" s="4">
        <v>44941</v>
      </c>
    </row>
    <row r="20" spans="5:11" x14ac:dyDescent="0.3">
      <c r="E20">
        <v>16</v>
      </c>
      <c r="F20" t="s">
        <v>34</v>
      </c>
      <c r="G20" t="s">
        <v>45</v>
      </c>
      <c r="H20" t="s">
        <v>22</v>
      </c>
      <c r="I20">
        <v>2114</v>
      </c>
      <c r="J20">
        <v>66</v>
      </c>
      <c r="K20" s="4">
        <v>44942</v>
      </c>
    </row>
    <row r="21" spans="5:11" x14ac:dyDescent="0.3">
      <c r="E21">
        <v>17</v>
      </c>
      <c r="F21" t="s">
        <v>32</v>
      </c>
      <c r="G21" t="s">
        <v>40</v>
      </c>
      <c r="H21" t="s">
        <v>24</v>
      </c>
      <c r="I21">
        <v>7693</v>
      </c>
      <c r="J21">
        <v>87</v>
      </c>
      <c r="K21" s="4">
        <v>44943</v>
      </c>
    </row>
    <row r="22" spans="5:11" x14ac:dyDescent="0.3">
      <c r="E22">
        <v>18</v>
      </c>
      <c r="F22" t="s">
        <v>33</v>
      </c>
      <c r="G22" t="s">
        <v>39</v>
      </c>
      <c r="H22" t="s">
        <v>13</v>
      </c>
      <c r="I22">
        <v>15610</v>
      </c>
      <c r="J22">
        <v>339</v>
      </c>
      <c r="K22" s="4">
        <v>44944</v>
      </c>
    </row>
    <row r="23" spans="5:11" x14ac:dyDescent="0.3">
      <c r="E23">
        <v>19</v>
      </c>
      <c r="F23" t="s">
        <v>30</v>
      </c>
      <c r="G23" t="s">
        <v>39</v>
      </c>
      <c r="H23" t="s">
        <v>15</v>
      </c>
      <c r="I23">
        <v>336</v>
      </c>
      <c r="J23">
        <v>144</v>
      </c>
      <c r="K23" s="4">
        <v>44945</v>
      </c>
    </row>
    <row r="24" spans="5:11" x14ac:dyDescent="0.3">
      <c r="E24">
        <v>20</v>
      </c>
      <c r="F24" t="s">
        <v>28</v>
      </c>
      <c r="G24" t="s">
        <v>44</v>
      </c>
      <c r="H24" t="s">
        <v>13</v>
      </c>
      <c r="I24">
        <v>9443</v>
      </c>
      <c r="J24">
        <v>162</v>
      </c>
      <c r="K24" s="4">
        <v>44946</v>
      </c>
    </row>
    <row r="25" spans="5:11" x14ac:dyDescent="0.3">
      <c r="E25">
        <v>21</v>
      </c>
      <c r="F25" t="s">
        <v>3</v>
      </c>
      <c r="G25" t="s">
        <v>39</v>
      </c>
      <c r="H25" t="s">
        <v>16</v>
      </c>
      <c r="I25">
        <v>8155</v>
      </c>
      <c r="J25">
        <v>90</v>
      </c>
      <c r="K25" s="4">
        <v>44947</v>
      </c>
    </row>
    <row r="26" spans="5:11" x14ac:dyDescent="0.3">
      <c r="E26">
        <v>22</v>
      </c>
      <c r="F26" t="s">
        <v>29</v>
      </c>
      <c r="G26" t="s">
        <v>37</v>
      </c>
      <c r="H26" t="s">
        <v>16</v>
      </c>
      <c r="I26">
        <v>1701</v>
      </c>
      <c r="J26">
        <v>234</v>
      </c>
      <c r="K26" s="4">
        <v>44948</v>
      </c>
    </row>
    <row r="27" spans="5:11" x14ac:dyDescent="0.3">
      <c r="E27">
        <v>23</v>
      </c>
      <c r="F27" t="s">
        <v>35</v>
      </c>
      <c r="G27" t="s">
        <v>37</v>
      </c>
      <c r="H27" t="s">
        <v>15</v>
      </c>
      <c r="I27">
        <v>2205</v>
      </c>
      <c r="J27">
        <v>141</v>
      </c>
      <c r="K27" s="4">
        <v>44949</v>
      </c>
    </row>
    <row r="28" spans="5:11" x14ac:dyDescent="0.3">
      <c r="E28">
        <v>24</v>
      </c>
      <c r="F28" t="s">
        <v>29</v>
      </c>
      <c r="G28" t="s">
        <v>40</v>
      </c>
      <c r="H28" t="s">
        <v>12</v>
      </c>
      <c r="I28">
        <v>1771</v>
      </c>
      <c r="J28">
        <v>204</v>
      </c>
      <c r="K28" s="4">
        <v>44950</v>
      </c>
    </row>
    <row r="29" spans="5:11" x14ac:dyDescent="0.3">
      <c r="E29">
        <v>25</v>
      </c>
      <c r="F29" t="s">
        <v>30</v>
      </c>
      <c r="G29" t="s">
        <v>45</v>
      </c>
      <c r="H29" t="s">
        <v>8</v>
      </c>
      <c r="I29">
        <v>2114</v>
      </c>
      <c r="J29">
        <v>186</v>
      </c>
      <c r="K29" s="4">
        <v>44951</v>
      </c>
    </row>
    <row r="30" spans="5:11" x14ac:dyDescent="0.3">
      <c r="E30">
        <v>26</v>
      </c>
      <c r="F30" t="s">
        <v>30</v>
      </c>
      <c r="G30" t="s">
        <v>38</v>
      </c>
      <c r="H30" t="s">
        <v>6</v>
      </c>
      <c r="I30">
        <v>10311</v>
      </c>
      <c r="J30">
        <v>231</v>
      </c>
      <c r="K30" s="4">
        <v>44952</v>
      </c>
    </row>
    <row r="31" spans="5:11" x14ac:dyDescent="0.3">
      <c r="E31">
        <v>27</v>
      </c>
      <c r="F31" t="s">
        <v>34</v>
      </c>
      <c r="G31" t="s">
        <v>44</v>
      </c>
      <c r="H31" t="s">
        <v>9</v>
      </c>
      <c r="I31">
        <v>21</v>
      </c>
      <c r="J31">
        <v>168</v>
      </c>
      <c r="K31" s="4">
        <v>44953</v>
      </c>
    </row>
    <row r="32" spans="5:11" x14ac:dyDescent="0.3">
      <c r="E32">
        <v>28</v>
      </c>
      <c r="F32" t="s">
        <v>35</v>
      </c>
      <c r="G32" t="s">
        <v>45</v>
      </c>
      <c r="H32" t="s">
        <v>13</v>
      </c>
      <c r="I32">
        <v>1974</v>
      </c>
      <c r="J32">
        <v>195</v>
      </c>
      <c r="K32" s="4">
        <v>44954</v>
      </c>
    </row>
    <row r="33" spans="5:11" x14ac:dyDescent="0.3">
      <c r="E33">
        <v>29</v>
      </c>
      <c r="F33" t="s">
        <v>33</v>
      </c>
      <c r="G33" t="s">
        <v>38</v>
      </c>
      <c r="H33" t="s">
        <v>16</v>
      </c>
      <c r="I33">
        <v>6314</v>
      </c>
      <c r="J33">
        <v>15</v>
      </c>
      <c r="K33" s="4">
        <v>44955</v>
      </c>
    </row>
    <row r="34" spans="5:11" x14ac:dyDescent="0.3">
      <c r="E34">
        <v>30</v>
      </c>
      <c r="F34" t="s">
        <v>35</v>
      </c>
      <c r="G34" t="s">
        <v>40</v>
      </c>
      <c r="H34" t="s">
        <v>16</v>
      </c>
      <c r="I34">
        <v>4683</v>
      </c>
      <c r="J34">
        <v>30</v>
      </c>
      <c r="K34" s="4">
        <v>44956</v>
      </c>
    </row>
    <row r="35" spans="5:11" x14ac:dyDescent="0.3">
      <c r="E35">
        <v>31</v>
      </c>
      <c r="F35" t="s">
        <v>30</v>
      </c>
      <c r="G35" t="s">
        <v>40</v>
      </c>
      <c r="H35" t="s">
        <v>17</v>
      </c>
      <c r="I35">
        <v>6398</v>
      </c>
      <c r="J35">
        <v>102</v>
      </c>
      <c r="K35" s="4">
        <v>44957</v>
      </c>
    </row>
    <row r="36" spans="5:11" x14ac:dyDescent="0.3">
      <c r="E36">
        <v>32</v>
      </c>
      <c r="F36" t="s">
        <v>28</v>
      </c>
      <c r="G36" t="s">
        <v>45</v>
      </c>
      <c r="H36" t="s">
        <v>12</v>
      </c>
      <c r="I36">
        <v>553</v>
      </c>
      <c r="J36">
        <v>15</v>
      </c>
      <c r="K36" s="4">
        <v>44958</v>
      </c>
    </row>
    <row r="37" spans="5:11" x14ac:dyDescent="0.3">
      <c r="E37">
        <v>33</v>
      </c>
      <c r="F37" t="s">
        <v>29</v>
      </c>
      <c r="G37" t="s">
        <v>44</v>
      </c>
      <c r="H37" t="s">
        <v>23</v>
      </c>
      <c r="I37">
        <v>7021</v>
      </c>
      <c r="J37">
        <v>183</v>
      </c>
      <c r="K37" s="4">
        <v>44959</v>
      </c>
    </row>
    <row r="38" spans="5:11" x14ac:dyDescent="0.3">
      <c r="E38">
        <v>34</v>
      </c>
      <c r="F38" t="s">
        <v>36</v>
      </c>
      <c r="G38" t="s">
        <v>44</v>
      </c>
      <c r="H38" t="s">
        <v>15</v>
      </c>
      <c r="I38">
        <v>5817</v>
      </c>
      <c r="J38">
        <v>12</v>
      </c>
      <c r="K38" s="4">
        <v>44960</v>
      </c>
    </row>
    <row r="39" spans="5:11" x14ac:dyDescent="0.3">
      <c r="E39">
        <v>35</v>
      </c>
      <c r="F39" t="s">
        <v>30</v>
      </c>
      <c r="G39" t="s">
        <v>44</v>
      </c>
      <c r="H39" t="s">
        <v>7</v>
      </c>
      <c r="I39">
        <v>3976</v>
      </c>
      <c r="J39">
        <v>72</v>
      </c>
      <c r="K39" s="4">
        <v>44961</v>
      </c>
    </row>
    <row r="40" spans="5:11" x14ac:dyDescent="0.3">
      <c r="E40">
        <v>36</v>
      </c>
      <c r="F40" t="s">
        <v>32</v>
      </c>
      <c r="G40" t="s">
        <v>37</v>
      </c>
      <c r="H40" t="s">
        <v>20</v>
      </c>
      <c r="I40">
        <v>1134</v>
      </c>
      <c r="J40">
        <v>282</v>
      </c>
      <c r="K40" s="4">
        <v>44962</v>
      </c>
    </row>
    <row r="41" spans="5:11" x14ac:dyDescent="0.3">
      <c r="E41">
        <v>37</v>
      </c>
      <c r="F41" t="s">
        <v>28</v>
      </c>
      <c r="G41" t="s">
        <v>44</v>
      </c>
      <c r="H41" t="s">
        <v>21</v>
      </c>
      <c r="I41">
        <v>6027</v>
      </c>
      <c r="J41">
        <v>144</v>
      </c>
      <c r="K41" s="4">
        <v>44963</v>
      </c>
    </row>
    <row r="42" spans="5:11" x14ac:dyDescent="0.3">
      <c r="E42">
        <v>38</v>
      </c>
      <c r="F42" t="s">
        <v>32</v>
      </c>
      <c r="G42" t="s">
        <v>40</v>
      </c>
      <c r="H42" t="s">
        <v>9</v>
      </c>
      <c r="I42">
        <v>1904</v>
      </c>
      <c r="J42">
        <v>405</v>
      </c>
      <c r="K42" s="4">
        <v>44964</v>
      </c>
    </row>
    <row r="43" spans="5:11" x14ac:dyDescent="0.3">
      <c r="E43">
        <v>39</v>
      </c>
      <c r="F43" t="s">
        <v>31</v>
      </c>
      <c r="G43" t="s">
        <v>39</v>
      </c>
      <c r="H43" t="s">
        <v>25</v>
      </c>
      <c r="I43">
        <v>3262</v>
      </c>
      <c r="J43">
        <v>75</v>
      </c>
      <c r="K43" s="4">
        <v>44965</v>
      </c>
    </row>
    <row r="44" spans="5:11" x14ac:dyDescent="0.3">
      <c r="E44">
        <v>40</v>
      </c>
      <c r="F44" t="s">
        <v>36</v>
      </c>
      <c r="G44" t="s">
        <v>39</v>
      </c>
      <c r="H44" t="s">
        <v>20</v>
      </c>
      <c r="I44">
        <v>2289</v>
      </c>
      <c r="J44">
        <v>135</v>
      </c>
      <c r="K44" s="4">
        <v>44966</v>
      </c>
    </row>
    <row r="45" spans="5:11" x14ac:dyDescent="0.3">
      <c r="E45">
        <v>41</v>
      </c>
      <c r="F45" t="s">
        <v>33</v>
      </c>
      <c r="G45" t="s">
        <v>39</v>
      </c>
      <c r="H45" t="s">
        <v>20</v>
      </c>
      <c r="I45">
        <v>6986</v>
      </c>
      <c r="J45">
        <v>21</v>
      </c>
      <c r="K45" s="4">
        <v>44967</v>
      </c>
    </row>
    <row r="46" spans="5:11" x14ac:dyDescent="0.3">
      <c r="E46">
        <v>42</v>
      </c>
      <c r="F46" t="s">
        <v>28</v>
      </c>
      <c r="G46" t="s">
        <v>37</v>
      </c>
      <c r="H46" t="s">
        <v>16</v>
      </c>
      <c r="I46">
        <v>4417</v>
      </c>
      <c r="J46">
        <v>153</v>
      </c>
      <c r="K46" s="4">
        <v>44968</v>
      </c>
    </row>
    <row r="47" spans="5:11" x14ac:dyDescent="0.3">
      <c r="E47">
        <v>43</v>
      </c>
      <c r="F47" t="s">
        <v>32</v>
      </c>
      <c r="G47" t="s">
        <v>39</v>
      </c>
      <c r="H47" t="s">
        <v>8</v>
      </c>
      <c r="I47">
        <v>1442</v>
      </c>
      <c r="J47">
        <v>15</v>
      </c>
      <c r="K47" s="4">
        <v>44969</v>
      </c>
    </row>
    <row r="48" spans="5:11" x14ac:dyDescent="0.3">
      <c r="E48">
        <v>44</v>
      </c>
      <c r="F48" t="s">
        <v>34</v>
      </c>
      <c r="G48" t="s">
        <v>45</v>
      </c>
      <c r="H48" t="s">
        <v>7</v>
      </c>
      <c r="I48">
        <v>2415</v>
      </c>
      <c r="J48">
        <v>255</v>
      </c>
      <c r="K48" s="4">
        <v>44970</v>
      </c>
    </row>
    <row r="49" spans="5:11" x14ac:dyDescent="0.3">
      <c r="E49">
        <v>45</v>
      </c>
      <c r="F49" t="s">
        <v>28</v>
      </c>
      <c r="G49" t="s">
        <v>40</v>
      </c>
      <c r="H49" t="s">
        <v>12</v>
      </c>
      <c r="I49">
        <v>238</v>
      </c>
      <c r="J49">
        <v>18</v>
      </c>
      <c r="K49" s="4">
        <v>44971</v>
      </c>
    </row>
    <row r="50" spans="5:11" x14ac:dyDescent="0.3">
      <c r="E50">
        <v>46</v>
      </c>
      <c r="F50" t="s">
        <v>32</v>
      </c>
      <c r="G50" t="s">
        <v>40</v>
      </c>
      <c r="H50" t="s">
        <v>16</v>
      </c>
      <c r="I50">
        <v>4949</v>
      </c>
      <c r="J50">
        <v>189</v>
      </c>
      <c r="K50" s="4">
        <v>44972</v>
      </c>
    </row>
    <row r="51" spans="5:11" x14ac:dyDescent="0.3">
      <c r="E51">
        <v>47</v>
      </c>
      <c r="F51" t="s">
        <v>33</v>
      </c>
      <c r="G51" t="s">
        <v>37</v>
      </c>
      <c r="H51" t="s">
        <v>25</v>
      </c>
      <c r="I51">
        <v>5075</v>
      </c>
      <c r="J51">
        <v>21</v>
      </c>
      <c r="K51" s="4">
        <v>44973</v>
      </c>
    </row>
    <row r="52" spans="5:11" x14ac:dyDescent="0.3">
      <c r="E52">
        <v>48</v>
      </c>
      <c r="F52" t="s">
        <v>34</v>
      </c>
      <c r="G52" t="s">
        <v>38</v>
      </c>
      <c r="H52" t="s">
        <v>9</v>
      </c>
      <c r="I52">
        <v>9198</v>
      </c>
      <c r="J52">
        <v>36</v>
      </c>
      <c r="K52" s="4">
        <v>44974</v>
      </c>
    </row>
    <row r="53" spans="5:11" x14ac:dyDescent="0.3">
      <c r="E53">
        <v>49</v>
      </c>
      <c r="F53" t="s">
        <v>32</v>
      </c>
      <c r="G53" t="s">
        <v>39</v>
      </c>
      <c r="H53" t="s">
        <v>22</v>
      </c>
      <c r="I53">
        <v>3339</v>
      </c>
      <c r="J53">
        <v>75</v>
      </c>
      <c r="K53" s="4">
        <v>44975</v>
      </c>
    </row>
    <row r="54" spans="5:11" x14ac:dyDescent="0.3">
      <c r="E54">
        <v>50</v>
      </c>
      <c r="F54" t="s">
        <v>36</v>
      </c>
      <c r="G54" t="s">
        <v>39</v>
      </c>
      <c r="H54" t="s">
        <v>10</v>
      </c>
      <c r="I54">
        <v>5019</v>
      </c>
      <c r="J54">
        <v>156</v>
      </c>
      <c r="K54" s="4">
        <v>44976</v>
      </c>
    </row>
    <row r="55" spans="5:11" x14ac:dyDescent="0.3">
      <c r="E55">
        <v>51</v>
      </c>
      <c r="F55" t="s">
        <v>33</v>
      </c>
      <c r="G55" t="s">
        <v>38</v>
      </c>
      <c r="H55" t="s">
        <v>9</v>
      </c>
      <c r="I55">
        <v>16184</v>
      </c>
      <c r="J55">
        <v>39</v>
      </c>
      <c r="K55" s="4">
        <v>44977</v>
      </c>
    </row>
    <row r="56" spans="5:11" x14ac:dyDescent="0.3">
      <c r="E56">
        <v>52</v>
      </c>
      <c r="F56" t="s">
        <v>32</v>
      </c>
      <c r="G56" t="s">
        <v>38</v>
      </c>
      <c r="H56" t="s">
        <v>14</v>
      </c>
      <c r="I56">
        <v>497</v>
      </c>
      <c r="J56">
        <v>63</v>
      </c>
      <c r="K56" s="4">
        <v>44978</v>
      </c>
    </row>
    <row r="57" spans="5:11" x14ac:dyDescent="0.3">
      <c r="E57">
        <v>53</v>
      </c>
      <c r="F57" t="s">
        <v>28</v>
      </c>
      <c r="G57" t="s">
        <v>38</v>
      </c>
      <c r="H57" t="s">
        <v>22</v>
      </c>
      <c r="I57">
        <v>8211</v>
      </c>
      <c r="J57">
        <v>75</v>
      </c>
      <c r="K57" s="4">
        <v>44979</v>
      </c>
    </row>
    <row r="58" spans="5:11" x14ac:dyDescent="0.3">
      <c r="E58">
        <v>54</v>
      </c>
      <c r="F58" t="s">
        <v>28</v>
      </c>
      <c r="G58" t="s">
        <v>37</v>
      </c>
      <c r="H58" t="s">
        <v>21</v>
      </c>
      <c r="I58">
        <v>6580</v>
      </c>
      <c r="J58">
        <v>183</v>
      </c>
      <c r="K58" s="4">
        <v>44980</v>
      </c>
    </row>
    <row r="59" spans="5:11" x14ac:dyDescent="0.3">
      <c r="E59">
        <v>55</v>
      </c>
      <c r="F59" t="s">
        <v>30</v>
      </c>
      <c r="G59" t="s">
        <v>45</v>
      </c>
      <c r="H59" t="s">
        <v>6</v>
      </c>
      <c r="I59">
        <v>4760</v>
      </c>
      <c r="J59">
        <v>69</v>
      </c>
      <c r="K59" s="4">
        <v>44981</v>
      </c>
    </row>
    <row r="60" spans="5:11" x14ac:dyDescent="0.3">
      <c r="E60">
        <v>56</v>
      </c>
      <c r="F60" t="s">
        <v>36</v>
      </c>
      <c r="G60" t="s">
        <v>38</v>
      </c>
      <c r="H60" t="s">
        <v>18</v>
      </c>
      <c r="I60">
        <v>5439</v>
      </c>
      <c r="J60">
        <v>30</v>
      </c>
      <c r="K60" s="4">
        <v>44982</v>
      </c>
    </row>
    <row r="61" spans="5:11" x14ac:dyDescent="0.3">
      <c r="E61">
        <v>57</v>
      </c>
      <c r="F61" t="s">
        <v>30</v>
      </c>
      <c r="G61" t="s">
        <v>39</v>
      </c>
      <c r="H61" t="s">
        <v>10</v>
      </c>
      <c r="I61">
        <v>1463</v>
      </c>
      <c r="J61">
        <v>39</v>
      </c>
      <c r="K61" s="4">
        <v>44983</v>
      </c>
    </row>
    <row r="62" spans="5:11" x14ac:dyDescent="0.3">
      <c r="E62">
        <v>58</v>
      </c>
      <c r="F62" t="s">
        <v>34</v>
      </c>
      <c r="G62" t="s">
        <v>39</v>
      </c>
      <c r="H62" t="s">
        <v>25</v>
      </c>
      <c r="I62">
        <v>7777</v>
      </c>
      <c r="J62">
        <v>504</v>
      </c>
      <c r="K62" s="4">
        <v>44984</v>
      </c>
    </row>
    <row r="63" spans="5:11" x14ac:dyDescent="0.3">
      <c r="E63">
        <v>59</v>
      </c>
      <c r="F63" t="s">
        <v>3</v>
      </c>
      <c r="G63" t="s">
        <v>40</v>
      </c>
      <c r="H63" t="s">
        <v>22</v>
      </c>
      <c r="I63">
        <v>1085</v>
      </c>
      <c r="J63">
        <v>273</v>
      </c>
      <c r="K63" s="4">
        <v>44985</v>
      </c>
    </row>
    <row r="64" spans="5:11" x14ac:dyDescent="0.3">
      <c r="E64">
        <v>60</v>
      </c>
      <c r="F64" t="s">
        <v>33</v>
      </c>
      <c r="G64" t="s">
        <v>40</v>
      </c>
      <c r="H64" t="s">
        <v>24</v>
      </c>
      <c r="I64">
        <v>182</v>
      </c>
      <c r="J64">
        <v>48</v>
      </c>
      <c r="K64" s="4">
        <v>44986</v>
      </c>
    </row>
    <row r="65" spans="5:11" x14ac:dyDescent="0.3">
      <c r="E65">
        <v>61</v>
      </c>
      <c r="F65" t="s">
        <v>32</v>
      </c>
      <c r="G65" t="s">
        <v>39</v>
      </c>
      <c r="H65" t="s">
        <v>20</v>
      </c>
      <c r="I65">
        <v>4242</v>
      </c>
      <c r="J65">
        <v>207</v>
      </c>
      <c r="K65" s="4">
        <v>44987</v>
      </c>
    </row>
    <row r="66" spans="5:11" x14ac:dyDescent="0.3">
      <c r="E66">
        <v>62</v>
      </c>
      <c r="F66" t="s">
        <v>32</v>
      </c>
      <c r="G66" t="s">
        <v>38</v>
      </c>
      <c r="H66" t="s">
        <v>25</v>
      </c>
      <c r="I66">
        <v>6118</v>
      </c>
      <c r="J66">
        <v>9</v>
      </c>
      <c r="K66" s="4">
        <v>44988</v>
      </c>
    </row>
    <row r="67" spans="5:11" x14ac:dyDescent="0.3">
      <c r="E67">
        <v>63</v>
      </c>
      <c r="F67" t="s">
        <v>35</v>
      </c>
      <c r="G67" t="s">
        <v>38</v>
      </c>
      <c r="H67" t="s">
        <v>16</v>
      </c>
      <c r="I67">
        <v>2317</v>
      </c>
      <c r="J67">
        <v>261</v>
      </c>
      <c r="K67" s="4">
        <v>44989</v>
      </c>
    </row>
    <row r="68" spans="5:11" x14ac:dyDescent="0.3">
      <c r="E68">
        <v>64</v>
      </c>
      <c r="F68" t="s">
        <v>32</v>
      </c>
      <c r="G68" t="s">
        <v>37</v>
      </c>
      <c r="H68" t="s">
        <v>9</v>
      </c>
      <c r="I68">
        <v>938</v>
      </c>
      <c r="J68">
        <v>6</v>
      </c>
      <c r="K68" s="4">
        <v>44990</v>
      </c>
    </row>
    <row r="69" spans="5:11" x14ac:dyDescent="0.3">
      <c r="E69">
        <v>65</v>
      </c>
      <c r="F69" t="s">
        <v>29</v>
      </c>
      <c r="G69" t="s">
        <v>40</v>
      </c>
      <c r="H69" t="s">
        <v>8</v>
      </c>
      <c r="I69">
        <v>9709</v>
      </c>
      <c r="J69">
        <v>30</v>
      </c>
      <c r="K69" s="4">
        <v>44991</v>
      </c>
    </row>
    <row r="70" spans="5:11" x14ac:dyDescent="0.3">
      <c r="E70">
        <v>66</v>
      </c>
      <c r="F70" t="s">
        <v>31</v>
      </c>
      <c r="G70" t="s">
        <v>39</v>
      </c>
      <c r="H70" t="s">
        <v>13</v>
      </c>
      <c r="I70">
        <v>2205</v>
      </c>
      <c r="J70">
        <v>138</v>
      </c>
      <c r="K70" s="4">
        <v>44992</v>
      </c>
    </row>
    <row r="71" spans="5:11" x14ac:dyDescent="0.3">
      <c r="E71">
        <v>67</v>
      </c>
      <c r="F71" t="s">
        <v>31</v>
      </c>
      <c r="G71" t="s">
        <v>40</v>
      </c>
      <c r="H71" t="s">
        <v>10</v>
      </c>
      <c r="I71">
        <v>4487</v>
      </c>
      <c r="J71">
        <v>111</v>
      </c>
      <c r="K71" s="4">
        <v>44993</v>
      </c>
    </row>
    <row r="72" spans="5:11" x14ac:dyDescent="0.3">
      <c r="E72">
        <v>68</v>
      </c>
      <c r="F72" t="s">
        <v>33</v>
      </c>
      <c r="G72" t="s">
        <v>45</v>
      </c>
      <c r="H72" t="s">
        <v>11</v>
      </c>
      <c r="I72">
        <v>2415</v>
      </c>
      <c r="J72">
        <v>15</v>
      </c>
      <c r="K72" s="4">
        <v>44994</v>
      </c>
    </row>
    <row r="73" spans="5:11" x14ac:dyDescent="0.3">
      <c r="E73">
        <v>69</v>
      </c>
      <c r="F73" t="s">
        <v>36</v>
      </c>
      <c r="G73" t="s">
        <v>39</v>
      </c>
      <c r="H73" t="s">
        <v>12</v>
      </c>
      <c r="I73">
        <v>4018</v>
      </c>
      <c r="J73">
        <v>162</v>
      </c>
      <c r="K73" s="4">
        <v>44995</v>
      </c>
    </row>
    <row r="74" spans="5:11" x14ac:dyDescent="0.3">
      <c r="E74">
        <v>70</v>
      </c>
      <c r="F74" t="s">
        <v>33</v>
      </c>
      <c r="G74" t="s">
        <v>39</v>
      </c>
      <c r="H74" t="s">
        <v>12</v>
      </c>
      <c r="I74">
        <v>861</v>
      </c>
      <c r="J74">
        <v>195</v>
      </c>
      <c r="K74" s="4">
        <v>44996</v>
      </c>
    </row>
    <row r="75" spans="5:11" x14ac:dyDescent="0.3">
      <c r="E75">
        <v>71</v>
      </c>
      <c r="F75" t="s">
        <v>35</v>
      </c>
      <c r="G75" t="s">
        <v>37</v>
      </c>
      <c r="H75" t="s">
        <v>7</v>
      </c>
      <c r="I75">
        <v>5586</v>
      </c>
      <c r="J75">
        <v>525</v>
      </c>
      <c r="K75" s="4">
        <v>44997</v>
      </c>
    </row>
    <row r="76" spans="5:11" x14ac:dyDescent="0.3">
      <c r="E76">
        <v>72</v>
      </c>
      <c r="F76" t="s">
        <v>31</v>
      </c>
      <c r="G76" t="s">
        <v>39</v>
      </c>
      <c r="H76" t="s">
        <v>26</v>
      </c>
      <c r="I76">
        <v>2226</v>
      </c>
      <c r="J76">
        <v>48</v>
      </c>
      <c r="K76" s="4">
        <v>44998</v>
      </c>
    </row>
    <row r="77" spans="5:11" x14ac:dyDescent="0.3">
      <c r="E77">
        <v>73</v>
      </c>
      <c r="F77" t="s">
        <v>3</v>
      </c>
      <c r="G77" t="s">
        <v>39</v>
      </c>
      <c r="H77" t="s">
        <v>21</v>
      </c>
      <c r="I77">
        <v>14329</v>
      </c>
      <c r="J77">
        <v>150</v>
      </c>
      <c r="K77" s="4">
        <v>44999</v>
      </c>
    </row>
    <row r="78" spans="5:11" x14ac:dyDescent="0.3">
      <c r="E78">
        <v>74</v>
      </c>
      <c r="F78" t="s">
        <v>3</v>
      </c>
      <c r="G78" t="s">
        <v>39</v>
      </c>
      <c r="H78" t="s">
        <v>13</v>
      </c>
      <c r="I78">
        <v>8463</v>
      </c>
      <c r="J78">
        <v>492</v>
      </c>
      <c r="K78" s="4">
        <v>45000</v>
      </c>
    </row>
    <row r="79" spans="5:11" x14ac:dyDescent="0.3">
      <c r="E79">
        <v>75</v>
      </c>
      <c r="F79" t="s">
        <v>33</v>
      </c>
      <c r="G79" t="s">
        <v>39</v>
      </c>
      <c r="H79" t="s">
        <v>22</v>
      </c>
      <c r="I79">
        <v>2891</v>
      </c>
      <c r="J79">
        <v>102</v>
      </c>
      <c r="K79" s="4">
        <v>45001</v>
      </c>
    </row>
    <row r="80" spans="5:11" x14ac:dyDescent="0.3">
      <c r="E80">
        <v>76</v>
      </c>
      <c r="F80" t="s">
        <v>34</v>
      </c>
      <c r="G80" t="s">
        <v>38</v>
      </c>
      <c r="H80" t="s">
        <v>16</v>
      </c>
      <c r="I80">
        <v>3773</v>
      </c>
      <c r="J80">
        <v>165</v>
      </c>
      <c r="K80" s="4">
        <v>45002</v>
      </c>
    </row>
    <row r="81" spans="5:11" x14ac:dyDescent="0.3">
      <c r="E81">
        <v>77</v>
      </c>
      <c r="F81" t="s">
        <v>30</v>
      </c>
      <c r="G81" t="s">
        <v>38</v>
      </c>
      <c r="H81" t="s">
        <v>21</v>
      </c>
      <c r="I81">
        <v>854</v>
      </c>
      <c r="J81">
        <v>309</v>
      </c>
      <c r="K81" s="4">
        <v>45003</v>
      </c>
    </row>
    <row r="82" spans="5:11" x14ac:dyDescent="0.3">
      <c r="E82">
        <v>78</v>
      </c>
      <c r="F82" t="s">
        <v>32</v>
      </c>
      <c r="G82" t="s">
        <v>38</v>
      </c>
      <c r="H82" t="s">
        <v>10</v>
      </c>
      <c r="I82">
        <v>4970</v>
      </c>
      <c r="J82">
        <v>156</v>
      </c>
      <c r="K82" s="4">
        <v>45004</v>
      </c>
    </row>
    <row r="83" spans="5:11" x14ac:dyDescent="0.3">
      <c r="E83">
        <v>79</v>
      </c>
      <c r="F83" t="s">
        <v>3</v>
      </c>
      <c r="G83" t="s">
        <v>45</v>
      </c>
      <c r="H83" t="s">
        <v>19</v>
      </c>
      <c r="I83">
        <v>98</v>
      </c>
      <c r="J83">
        <v>159</v>
      </c>
      <c r="K83" s="4">
        <v>45005</v>
      </c>
    </row>
    <row r="84" spans="5:11" x14ac:dyDescent="0.3">
      <c r="E84">
        <v>80</v>
      </c>
      <c r="F84" t="s">
        <v>33</v>
      </c>
      <c r="G84" t="s">
        <v>45</v>
      </c>
      <c r="H84" t="s">
        <v>8</v>
      </c>
      <c r="I84">
        <v>13391</v>
      </c>
      <c r="J84">
        <v>201</v>
      </c>
      <c r="K84" s="4">
        <v>45006</v>
      </c>
    </row>
    <row r="85" spans="5:11" x14ac:dyDescent="0.3">
      <c r="E85">
        <v>81</v>
      </c>
      <c r="F85" t="s">
        <v>29</v>
      </c>
      <c r="G85" t="s">
        <v>44</v>
      </c>
      <c r="H85" t="s">
        <v>24</v>
      </c>
      <c r="I85">
        <v>8890</v>
      </c>
      <c r="J85">
        <v>210</v>
      </c>
      <c r="K85" s="4">
        <v>45007</v>
      </c>
    </row>
    <row r="86" spans="5:11" x14ac:dyDescent="0.3">
      <c r="E86">
        <v>82</v>
      </c>
      <c r="F86" t="s">
        <v>28</v>
      </c>
      <c r="G86" t="s">
        <v>37</v>
      </c>
      <c r="H86" t="s">
        <v>6</v>
      </c>
      <c r="I86">
        <v>56</v>
      </c>
      <c r="J86">
        <v>51</v>
      </c>
      <c r="K86" s="4">
        <v>45008</v>
      </c>
    </row>
    <row r="87" spans="5:11" x14ac:dyDescent="0.3">
      <c r="E87">
        <v>83</v>
      </c>
      <c r="F87" t="s">
        <v>34</v>
      </c>
      <c r="G87" t="s">
        <v>38</v>
      </c>
      <c r="H87" t="s">
        <v>18</v>
      </c>
      <c r="I87">
        <v>3339</v>
      </c>
      <c r="J87">
        <v>39</v>
      </c>
      <c r="K87" s="4">
        <v>45009</v>
      </c>
    </row>
    <row r="88" spans="5:11" x14ac:dyDescent="0.3">
      <c r="E88">
        <v>84</v>
      </c>
      <c r="F88" t="s">
        <v>35</v>
      </c>
      <c r="G88" t="s">
        <v>45</v>
      </c>
      <c r="H88" t="s">
        <v>11</v>
      </c>
      <c r="I88">
        <v>3808</v>
      </c>
      <c r="J88">
        <v>279</v>
      </c>
      <c r="K88" s="4">
        <v>45010</v>
      </c>
    </row>
    <row r="89" spans="5:11" x14ac:dyDescent="0.3">
      <c r="E89">
        <v>85</v>
      </c>
      <c r="F89" t="s">
        <v>35</v>
      </c>
      <c r="G89" t="s">
        <v>37</v>
      </c>
      <c r="H89" t="s">
        <v>6</v>
      </c>
      <c r="I89">
        <v>63</v>
      </c>
      <c r="J89">
        <v>123</v>
      </c>
      <c r="K89" s="4">
        <v>45011</v>
      </c>
    </row>
    <row r="90" spans="5:11" x14ac:dyDescent="0.3">
      <c r="E90">
        <v>86</v>
      </c>
      <c r="F90" t="s">
        <v>28</v>
      </c>
      <c r="G90" t="s">
        <v>44</v>
      </c>
      <c r="H90" t="s">
        <v>20</v>
      </c>
      <c r="I90">
        <v>7812</v>
      </c>
      <c r="J90">
        <v>81</v>
      </c>
      <c r="K90" s="4">
        <v>45012</v>
      </c>
    </row>
    <row r="91" spans="5:11" x14ac:dyDescent="0.3">
      <c r="E91">
        <v>87</v>
      </c>
      <c r="F91" t="s">
        <v>36</v>
      </c>
      <c r="G91" t="s">
        <v>40</v>
      </c>
      <c r="H91" t="s">
        <v>12</v>
      </c>
      <c r="I91">
        <v>7693</v>
      </c>
      <c r="J91">
        <v>21</v>
      </c>
      <c r="K91" s="4">
        <v>45013</v>
      </c>
    </row>
    <row r="92" spans="5:11" x14ac:dyDescent="0.3">
      <c r="E92">
        <v>88</v>
      </c>
      <c r="F92" t="s">
        <v>34</v>
      </c>
      <c r="G92" t="s">
        <v>38</v>
      </c>
      <c r="H92" t="s">
        <v>21</v>
      </c>
      <c r="I92">
        <v>973</v>
      </c>
      <c r="J92">
        <v>162</v>
      </c>
      <c r="K92" s="4">
        <v>45014</v>
      </c>
    </row>
    <row r="93" spans="5:11" x14ac:dyDescent="0.3">
      <c r="E93">
        <v>89</v>
      </c>
      <c r="F93" t="s">
        <v>35</v>
      </c>
      <c r="G93" t="s">
        <v>45</v>
      </c>
      <c r="H93" t="s">
        <v>14</v>
      </c>
      <c r="I93">
        <v>567</v>
      </c>
      <c r="J93">
        <v>228</v>
      </c>
      <c r="K93" s="4">
        <v>45015</v>
      </c>
    </row>
    <row r="94" spans="5:11" x14ac:dyDescent="0.3">
      <c r="E94">
        <v>90</v>
      </c>
      <c r="F94" t="s">
        <v>35</v>
      </c>
      <c r="G94" t="s">
        <v>38</v>
      </c>
      <c r="H94" t="s">
        <v>22</v>
      </c>
      <c r="I94">
        <v>2471</v>
      </c>
      <c r="J94">
        <v>342</v>
      </c>
      <c r="K94" s="4">
        <v>45016</v>
      </c>
    </row>
    <row r="95" spans="5:11" x14ac:dyDescent="0.3">
      <c r="E95">
        <v>91</v>
      </c>
      <c r="F95" t="s">
        <v>33</v>
      </c>
      <c r="G95" t="s">
        <v>37</v>
      </c>
      <c r="H95" t="s">
        <v>6</v>
      </c>
      <c r="I95">
        <v>7189</v>
      </c>
      <c r="J95">
        <v>54</v>
      </c>
      <c r="K95" s="4">
        <v>45017</v>
      </c>
    </row>
    <row r="96" spans="5:11" x14ac:dyDescent="0.3">
      <c r="E96">
        <v>92</v>
      </c>
      <c r="F96" t="s">
        <v>30</v>
      </c>
      <c r="G96" t="s">
        <v>45</v>
      </c>
      <c r="H96" t="s">
        <v>21</v>
      </c>
      <c r="I96">
        <v>7455</v>
      </c>
      <c r="J96">
        <v>216</v>
      </c>
      <c r="K96" s="4">
        <v>45018</v>
      </c>
    </row>
    <row r="97" spans="5:11" x14ac:dyDescent="0.3">
      <c r="E97">
        <v>93</v>
      </c>
      <c r="F97" t="s">
        <v>34</v>
      </c>
      <c r="G97" t="s">
        <v>39</v>
      </c>
      <c r="H97" t="s">
        <v>19</v>
      </c>
      <c r="I97">
        <v>3108</v>
      </c>
      <c r="J97">
        <v>54</v>
      </c>
      <c r="K97" s="4">
        <v>45019</v>
      </c>
    </row>
    <row r="98" spans="5:11" x14ac:dyDescent="0.3">
      <c r="E98">
        <v>94</v>
      </c>
      <c r="F98" t="s">
        <v>32</v>
      </c>
      <c r="G98" t="s">
        <v>37</v>
      </c>
      <c r="H98" t="s">
        <v>18</v>
      </c>
      <c r="I98">
        <v>469</v>
      </c>
      <c r="J98">
        <v>75</v>
      </c>
      <c r="K98" s="4">
        <v>45020</v>
      </c>
    </row>
    <row r="99" spans="5:11" x14ac:dyDescent="0.3">
      <c r="E99">
        <v>95</v>
      </c>
      <c r="F99" t="s">
        <v>3</v>
      </c>
      <c r="G99" t="s">
        <v>40</v>
      </c>
      <c r="H99" t="s">
        <v>16</v>
      </c>
      <c r="I99">
        <v>2737</v>
      </c>
      <c r="J99">
        <v>93</v>
      </c>
      <c r="K99" s="4">
        <v>45021</v>
      </c>
    </row>
    <row r="100" spans="5:11" x14ac:dyDescent="0.3">
      <c r="E100">
        <v>96</v>
      </c>
      <c r="F100" t="s">
        <v>3</v>
      </c>
      <c r="G100" t="s">
        <v>40</v>
      </c>
      <c r="H100" t="s">
        <v>18</v>
      </c>
      <c r="I100">
        <v>4305</v>
      </c>
      <c r="J100">
        <v>156</v>
      </c>
      <c r="K100" s="4">
        <v>45022</v>
      </c>
    </row>
    <row r="101" spans="5:11" x14ac:dyDescent="0.3">
      <c r="E101">
        <v>97</v>
      </c>
      <c r="F101" t="s">
        <v>3</v>
      </c>
      <c r="G101" t="s">
        <v>37</v>
      </c>
      <c r="H101" t="s">
        <v>10</v>
      </c>
      <c r="I101">
        <v>2408</v>
      </c>
      <c r="J101">
        <v>9</v>
      </c>
      <c r="K101" s="4">
        <v>45023</v>
      </c>
    </row>
    <row r="102" spans="5:11" x14ac:dyDescent="0.3">
      <c r="E102">
        <v>98</v>
      </c>
      <c r="F102" t="s">
        <v>34</v>
      </c>
      <c r="G102" t="s">
        <v>38</v>
      </c>
      <c r="H102" t="s">
        <v>12</v>
      </c>
      <c r="I102">
        <v>1281</v>
      </c>
      <c r="J102">
        <v>18</v>
      </c>
      <c r="K102" s="4">
        <v>45024</v>
      </c>
    </row>
    <row r="103" spans="5:11" x14ac:dyDescent="0.3">
      <c r="E103">
        <v>99</v>
      </c>
      <c r="F103" t="s">
        <v>36</v>
      </c>
      <c r="G103" t="s">
        <v>45</v>
      </c>
      <c r="H103" t="s">
        <v>25</v>
      </c>
      <c r="I103">
        <v>12348</v>
      </c>
      <c r="J103">
        <v>234</v>
      </c>
      <c r="K103" s="4">
        <v>45025</v>
      </c>
    </row>
    <row r="104" spans="5:11" x14ac:dyDescent="0.3">
      <c r="E104">
        <v>100</v>
      </c>
      <c r="F104" t="s">
        <v>34</v>
      </c>
      <c r="G104" t="s">
        <v>39</v>
      </c>
      <c r="H104" t="s">
        <v>21</v>
      </c>
      <c r="I104">
        <v>3689</v>
      </c>
      <c r="J104">
        <v>312</v>
      </c>
      <c r="K104" s="4">
        <v>45026</v>
      </c>
    </row>
    <row r="105" spans="5:11" x14ac:dyDescent="0.3">
      <c r="E105">
        <v>101</v>
      </c>
      <c r="F105" t="s">
        <v>31</v>
      </c>
      <c r="G105" t="s">
        <v>38</v>
      </c>
      <c r="H105" t="s">
        <v>12</v>
      </c>
      <c r="I105">
        <v>2870</v>
      </c>
      <c r="J105">
        <v>300</v>
      </c>
      <c r="K105" s="4">
        <v>45027</v>
      </c>
    </row>
    <row r="106" spans="5:11" x14ac:dyDescent="0.3">
      <c r="E106">
        <v>102</v>
      </c>
      <c r="F106" t="s">
        <v>28</v>
      </c>
      <c r="G106" t="s">
        <v>38</v>
      </c>
      <c r="H106" t="s">
        <v>20</v>
      </c>
      <c r="I106">
        <v>798</v>
      </c>
      <c r="J106">
        <v>519</v>
      </c>
      <c r="K106" s="4">
        <v>45028</v>
      </c>
    </row>
    <row r="107" spans="5:11" x14ac:dyDescent="0.3">
      <c r="E107">
        <v>103</v>
      </c>
      <c r="F107" t="s">
        <v>30</v>
      </c>
      <c r="G107" t="s">
        <v>40</v>
      </c>
      <c r="H107" t="s">
        <v>14</v>
      </c>
      <c r="I107">
        <v>2933</v>
      </c>
      <c r="J107">
        <v>9</v>
      </c>
      <c r="K107" s="4">
        <v>45029</v>
      </c>
    </row>
    <row r="108" spans="5:11" x14ac:dyDescent="0.3">
      <c r="E108">
        <v>104</v>
      </c>
      <c r="F108" t="s">
        <v>33</v>
      </c>
      <c r="G108" t="s">
        <v>45</v>
      </c>
      <c r="H108" t="s">
        <v>2</v>
      </c>
      <c r="I108">
        <v>2744</v>
      </c>
      <c r="J108">
        <v>9</v>
      </c>
      <c r="K108" s="4">
        <v>45030</v>
      </c>
    </row>
    <row r="109" spans="5:11" x14ac:dyDescent="0.3">
      <c r="E109">
        <v>105</v>
      </c>
      <c r="F109" t="s">
        <v>36</v>
      </c>
      <c r="G109" t="s">
        <v>38</v>
      </c>
      <c r="H109" t="s">
        <v>26</v>
      </c>
      <c r="I109">
        <v>9772</v>
      </c>
      <c r="J109">
        <v>90</v>
      </c>
      <c r="K109" s="4">
        <v>45031</v>
      </c>
    </row>
    <row r="110" spans="5:11" x14ac:dyDescent="0.3">
      <c r="E110">
        <v>106</v>
      </c>
      <c r="F110" t="s">
        <v>31</v>
      </c>
      <c r="G110" t="s">
        <v>39</v>
      </c>
      <c r="H110" t="s">
        <v>18</v>
      </c>
      <c r="I110">
        <v>1568</v>
      </c>
      <c r="J110">
        <v>96</v>
      </c>
      <c r="K110" s="4">
        <v>45032</v>
      </c>
    </row>
    <row r="111" spans="5:11" x14ac:dyDescent="0.3">
      <c r="E111">
        <v>107</v>
      </c>
      <c r="F111" t="s">
        <v>28</v>
      </c>
      <c r="G111" t="s">
        <v>38</v>
      </c>
      <c r="H111" t="s">
        <v>9</v>
      </c>
      <c r="I111">
        <v>11417</v>
      </c>
      <c r="J111">
        <v>21</v>
      </c>
      <c r="K111" s="4">
        <v>45033</v>
      </c>
    </row>
    <row r="112" spans="5:11" x14ac:dyDescent="0.3">
      <c r="E112">
        <v>108</v>
      </c>
      <c r="F112" t="s">
        <v>36</v>
      </c>
      <c r="G112" t="s">
        <v>39</v>
      </c>
      <c r="H112" t="s">
        <v>19</v>
      </c>
      <c r="I112">
        <v>6748</v>
      </c>
      <c r="J112">
        <v>48</v>
      </c>
      <c r="K112" s="4">
        <v>45034</v>
      </c>
    </row>
    <row r="113" spans="5:11" x14ac:dyDescent="0.3">
      <c r="E113">
        <v>109</v>
      </c>
      <c r="F113" t="s">
        <v>35</v>
      </c>
      <c r="G113" t="s">
        <v>38</v>
      </c>
      <c r="H113" t="s">
        <v>20</v>
      </c>
      <c r="I113">
        <v>1407</v>
      </c>
      <c r="J113">
        <v>72</v>
      </c>
      <c r="K113" s="4">
        <v>45035</v>
      </c>
    </row>
    <row r="114" spans="5:11" x14ac:dyDescent="0.3">
      <c r="E114">
        <v>110</v>
      </c>
      <c r="F114" t="s">
        <v>29</v>
      </c>
      <c r="G114" t="s">
        <v>45</v>
      </c>
      <c r="H114" t="s">
        <v>22</v>
      </c>
      <c r="I114">
        <v>2023</v>
      </c>
      <c r="J114">
        <v>168</v>
      </c>
      <c r="K114" s="4">
        <v>45036</v>
      </c>
    </row>
    <row r="115" spans="5:11" x14ac:dyDescent="0.3">
      <c r="E115">
        <v>111</v>
      </c>
      <c r="F115" t="s">
        <v>33</v>
      </c>
      <c r="G115" t="s">
        <v>44</v>
      </c>
      <c r="H115" t="s">
        <v>19</v>
      </c>
      <c r="I115">
        <v>5236</v>
      </c>
      <c r="J115">
        <v>51</v>
      </c>
      <c r="K115" s="4">
        <v>45037</v>
      </c>
    </row>
    <row r="116" spans="5:11" x14ac:dyDescent="0.3">
      <c r="E116">
        <v>112</v>
      </c>
      <c r="F116" t="s">
        <v>30</v>
      </c>
      <c r="G116" t="s">
        <v>38</v>
      </c>
      <c r="H116" t="s">
        <v>12</v>
      </c>
      <c r="I116">
        <v>1925</v>
      </c>
      <c r="J116">
        <v>192</v>
      </c>
      <c r="K116" s="4">
        <v>45038</v>
      </c>
    </row>
    <row r="117" spans="5:11" x14ac:dyDescent="0.3">
      <c r="E117">
        <v>113</v>
      </c>
      <c r="F117" t="s">
        <v>31</v>
      </c>
      <c r="G117" t="s">
        <v>40</v>
      </c>
      <c r="H117" t="s">
        <v>7</v>
      </c>
      <c r="I117">
        <v>6608</v>
      </c>
      <c r="J117">
        <v>225</v>
      </c>
      <c r="K117" s="4">
        <v>45039</v>
      </c>
    </row>
    <row r="118" spans="5:11" x14ac:dyDescent="0.3">
      <c r="E118">
        <v>114</v>
      </c>
      <c r="F118" t="s">
        <v>32</v>
      </c>
      <c r="G118" t="s">
        <v>39</v>
      </c>
      <c r="H118" t="s">
        <v>19</v>
      </c>
      <c r="I118">
        <v>8008</v>
      </c>
      <c r="J118">
        <v>456</v>
      </c>
      <c r="K118" s="4">
        <v>45040</v>
      </c>
    </row>
    <row r="119" spans="5:11" x14ac:dyDescent="0.3">
      <c r="E119">
        <v>115</v>
      </c>
      <c r="F119" t="s">
        <v>35</v>
      </c>
      <c r="G119" t="s">
        <v>39</v>
      </c>
      <c r="H119" t="s">
        <v>18</v>
      </c>
      <c r="I119">
        <v>1428</v>
      </c>
      <c r="J119">
        <v>93</v>
      </c>
      <c r="K119" s="4">
        <v>45041</v>
      </c>
    </row>
    <row r="120" spans="5:11" x14ac:dyDescent="0.3">
      <c r="E120">
        <v>116</v>
      </c>
      <c r="F120" t="s">
        <v>32</v>
      </c>
      <c r="G120" t="s">
        <v>39</v>
      </c>
      <c r="H120" t="s">
        <v>2</v>
      </c>
      <c r="I120">
        <v>525</v>
      </c>
      <c r="J120">
        <v>48</v>
      </c>
      <c r="K120" s="4">
        <v>45042</v>
      </c>
    </row>
    <row r="121" spans="5:11" x14ac:dyDescent="0.3">
      <c r="E121">
        <v>117</v>
      </c>
      <c r="F121" t="s">
        <v>32</v>
      </c>
      <c r="G121" t="s">
        <v>40</v>
      </c>
      <c r="H121" t="s">
        <v>11</v>
      </c>
      <c r="I121">
        <v>1505</v>
      </c>
      <c r="J121">
        <v>102</v>
      </c>
      <c r="K121" s="4">
        <v>45043</v>
      </c>
    </row>
    <row r="122" spans="5:11" x14ac:dyDescent="0.3">
      <c r="E122">
        <v>118</v>
      </c>
      <c r="F122" t="s">
        <v>31</v>
      </c>
      <c r="G122" t="s">
        <v>45</v>
      </c>
      <c r="H122" t="s">
        <v>23</v>
      </c>
      <c r="I122">
        <v>6755</v>
      </c>
      <c r="J122">
        <v>252</v>
      </c>
      <c r="K122" s="4">
        <v>45044</v>
      </c>
    </row>
    <row r="123" spans="5:11" x14ac:dyDescent="0.3">
      <c r="E123">
        <v>119</v>
      </c>
      <c r="F123" t="s">
        <v>28</v>
      </c>
      <c r="G123" t="s">
        <v>40</v>
      </c>
      <c r="H123" t="s">
        <v>11</v>
      </c>
      <c r="I123">
        <v>11571</v>
      </c>
      <c r="J123">
        <v>138</v>
      </c>
      <c r="K123" s="4">
        <v>45045</v>
      </c>
    </row>
    <row r="124" spans="5:11" x14ac:dyDescent="0.3">
      <c r="E124">
        <v>120</v>
      </c>
      <c r="F124" t="s">
        <v>36</v>
      </c>
      <c r="G124" t="s">
        <v>37</v>
      </c>
      <c r="H124" t="s">
        <v>18</v>
      </c>
      <c r="I124">
        <v>2541</v>
      </c>
      <c r="J124">
        <v>90</v>
      </c>
      <c r="K124" s="4">
        <v>45046</v>
      </c>
    </row>
    <row r="125" spans="5:11" x14ac:dyDescent="0.3">
      <c r="E125">
        <v>121</v>
      </c>
      <c r="F125" t="s">
        <v>30</v>
      </c>
      <c r="G125" t="s">
        <v>40</v>
      </c>
      <c r="H125" t="s">
        <v>23</v>
      </c>
      <c r="I125">
        <v>1526</v>
      </c>
      <c r="J125">
        <v>240</v>
      </c>
      <c r="K125" s="4">
        <v>45047</v>
      </c>
    </row>
    <row r="126" spans="5:11" x14ac:dyDescent="0.3">
      <c r="E126">
        <v>122</v>
      </c>
      <c r="F126" t="s">
        <v>36</v>
      </c>
      <c r="G126" t="s">
        <v>37</v>
      </c>
      <c r="H126" t="s">
        <v>2</v>
      </c>
      <c r="I126">
        <v>6125</v>
      </c>
      <c r="J126">
        <v>102</v>
      </c>
      <c r="K126" s="4">
        <v>45048</v>
      </c>
    </row>
    <row r="127" spans="5:11" x14ac:dyDescent="0.3">
      <c r="E127">
        <v>123</v>
      </c>
      <c r="F127" t="s">
        <v>30</v>
      </c>
      <c r="G127" t="s">
        <v>45</v>
      </c>
      <c r="H127" t="s">
        <v>20</v>
      </c>
      <c r="I127">
        <v>847</v>
      </c>
      <c r="J127">
        <v>129</v>
      </c>
      <c r="K127" s="4">
        <v>45049</v>
      </c>
    </row>
    <row r="128" spans="5:11" x14ac:dyDescent="0.3">
      <c r="E128">
        <v>124</v>
      </c>
      <c r="F128" t="s">
        <v>29</v>
      </c>
      <c r="G128" t="s">
        <v>45</v>
      </c>
      <c r="H128" t="s">
        <v>20</v>
      </c>
      <c r="I128">
        <v>4753</v>
      </c>
      <c r="J128">
        <v>300</v>
      </c>
      <c r="K128" s="4">
        <v>45050</v>
      </c>
    </row>
    <row r="129" spans="5:11" x14ac:dyDescent="0.3">
      <c r="E129">
        <v>125</v>
      </c>
      <c r="F129" t="s">
        <v>32</v>
      </c>
      <c r="G129" t="s">
        <v>37</v>
      </c>
      <c r="H129" t="s">
        <v>26</v>
      </c>
      <c r="I129">
        <v>959</v>
      </c>
      <c r="J129">
        <v>135</v>
      </c>
      <c r="K129" s="4">
        <v>45051</v>
      </c>
    </row>
    <row r="130" spans="5:11" x14ac:dyDescent="0.3">
      <c r="E130">
        <v>126</v>
      </c>
      <c r="F130" t="s">
        <v>31</v>
      </c>
      <c r="G130" t="s">
        <v>45</v>
      </c>
      <c r="H130" t="s">
        <v>17</v>
      </c>
      <c r="I130">
        <v>2793</v>
      </c>
      <c r="J130">
        <v>114</v>
      </c>
      <c r="K130" s="4">
        <v>45052</v>
      </c>
    </row>
    <row r="131" spans="5:11" x14ac:dyDescent="0.3">
      <c r="E131">
        <v>127</v>
      </c>
      <c r="F131" t="s">
        <v>31</v>
      </c>
      <c r="G131" t="s">
        <v>45</v>
      </c>
      <c r="H131" t="s">
        <v>7</v>
      </c>
      <c r="I131">
        <v>4606</v>
      </c>
      <c r="J131">
        <v>63</v>
      </c>
      <c r="K131" s="4">
        <v>45053</v>
      </c>
    </row>
    <row r="132" spans="5:11" x14ac:dyDescent="0.3">
      <c r="E132">
        <v>128</v>
      </c>
      <c r="F132" t="s">
        <v>31</v>
      </c>
      <c r="G132" t="s">
        <v>38</v>
      </c>
      <c r="H132" t="s">
        <v>22</v>
      </c>
      <c r="I132">
        <v>5551</v>
      </c>
      <c r="J132">
        <v>252</v>
      </c>
      <c r="K132" s="4">
        <v>45054</v>
      </c>
    </row>
    <row r="133" spans="5:11" x14ac:dyDescent="0.3">
      <c r="E133">
        <v>129</v>
      </c>
      <c r="F133" t="s">
        <v>35</v>
      </c>
      <c r="G133" t="s">
        <v>38</v>
      </c>
      <c r="H133" t="s">
        <v>25</v>
      </c>
      <c r="I133">
        <v>6657</v>
      </c>
      <c r="J133">
        <v>303</v>
      </c>
      <c r="K133" s="4">
        <v>45055</v>
      </c>
    </row>
    <row r="134" spans="5:11" x14ac:dyDescent="0.3">
      <c r="E134">
        <v>130</v>
      </c>
      <c r="F134" t="s">
        <v>31</v>
      </c>
      <c r="G134" t="s">
        <v>44</v>
      </c>
      <c r="H134" t="s">
        <v>10</v>
      </c>
      <c r="I134">
        <v>4438</v>
      </c>
      <c r="J134">
        <v>246</v>
      </c>
      <c r="K134" s="4">
        <v>45056</v>
      </c>
    </row>
    <row r="135" spans="5:11" x14ac:dyDescent="0.3">
      <c r="E135">
        <v>131</v>
      </c>
      <c r="F135" t="s">
        <v>29</v>
      </c>
      <c r="G135" t="s">
        <v>37</v>
      </c>
      <c r="H135" t="s">
        <v>15</v>
      </c>
      <c r="I135">
        <v>168</v>
      </c>
      <c r="J135">
        <v>84</v>
      </c>
      <c r="K135" s="4">
        <v>45057</v>
      </c>
    </row>
    <row r="136" spans="5:11" x14ac:dyDescent="0.3">
      <c r="E136">
        <v>132</v>
      </c>
      <c r="F136" t="s">
        <v>31</v>
      </c>
      <c r="G136" t="s">
        <v>39</v>
      </c>
      <c r="H136" t="s">
        <v>10</v>
      </c>
      <c r="I136">
        <v>7777</v>
      </c>
      <c r="J136">
        <v>39</v>
      </c>
      <c r="K136" s="4">
        <v>45058</v>
      </c>
    </row>
    <row r="137" spans="5:11" x14ac:dyDescent="0.3">
      <c r="E137">
        <v>133</v>
      </c>
      <c r="F137" t="s">
        <v>33</v>
      </c>
      <c r="G137" t="s">
        <v>38</v>
      </c>
      <c r="H137" t="s">
        <v>10</v>
      </c>
      <c r="I137">
        <v>3339</v>
      </c>
      <c r="J137">
        <v>348</v>
      </c>
      <c r="K137" s="4">
        <v>45059</v>
      </c>
    </row>
    <row r="138" spans="5:11" x14ac:dyDescent="0.3">
      <c r="E138">
        <v>134</v>
      </c>
      <c r="F138" t="s">
        <v>31</v>
      </c>
      <c r="G138" t="s">
        <v>40</v>
      </c>
      <c r="H138" t="s">
        <v>26</v>
      </c>
      <c r="I138">
        <v>6391</v>
      </c>
      <c r="J138">
        <v>48</v>
      </c>
      <c r="K138" s="4">
        <v>45060</v>
      </c>
    </row>
    <row r="139" spans="5:11" x14ac:dyDescent="0.3">
      <c r="E139">
        <v>135</v>
      </c>
      <c r="F139" t="s">
        <v>33</v>
      </c>
      <c r="G139" t="s">
        <v>40</v>
      </c>
      <c r="H139" t="s">
        <v>15</v>
      </c>
      <c r="I139">
        <v>518</v>
      </c>
      <c r="J139">
        <v>75</v>
      </c>
      <c r="K139" s="4">
        <v>45061</v>
      </c>
    </row>
    <row r="140" spans="5:11" x14ac:dyDescent="0.3">
      <c r="E140">
        <v>136</v>
      </c>
      <c r="F140" t="s">
        <v>31</v>
      </c>
      <c r="G140" t="s">
        <v>37</v>
      </c>
      <c r="H140" t="s">
        <v>21</v>
      </c>
      <c r="I140">
        <v>5677</v>
      </c>
      <c r="J140">
        <v>258</v>
      </c>
      <c r="K140" s="4">
        <v>45062</v>
      </c>
    </row>
    <row r="141" spans="5:11" x14ac:dyDescent="0.3">
      <c r="E141">
        <v>137</v>
      </c>
      <c r="F141" t="s">
        <v>32</v>
      </c>
      <c r="G141" t="s">
        <v>44</v>
      </c>
      <c r="H141" t="s">
        <v>10</v>
      </c>
      <c r="I141">
        <v>6048</v>
      </c>
      <c r="J141">
        <v>27</v>
      </c>
      <c r="K141" s="4">
        <v>45063</v>
      </c>
    </row>
    <row r="142" spans="5:11" x14ac:dyDescent="0.3">
      <c r="E142">
        <v>138</v>
      </c>
      <c r="F142" t="s">
        <v>29</v>
      </c>
      <c r="G142" t="s">
        <v>37</v>
      </c>
      <c r="H142" t="s">
        <v>25</v>
      </c>
      <c r="I142">
        <v>3752</v>
      </c>
      <c r="J142">
        <v>213</v>
      </c>
      <c r="K142" s="4">
        <v>45064</v>
      </c>
    </row>
    <row r="143" spans="5:11" x14ac:dyDescent="0.3">
      <c r="E143">
        <v>139</v>
      </c>
      <c r="F143" t="s">
        <v>33</v>
      </c>
      <c r="G143" t="s">
        <v>45</v>
      </c>
      <c r="H143" t="s">
        <v>22</v>
      </c>
      <c r="I143">
        <v>4480</v>
      </c>
      <c r="J143">
        <v>357</v>
      </c>
      <c r="K143" s="4">
        <v>45065</v>
      </c>
    </row>
    <row r="144" spans="5:11" x14ac:dyDescent="0.3">
      <c r="E144">
        <v>140</v>
      </c>
      <c r="F144" t="s">
        <v>3</v>
      </c>
      <c r="G144" t="s">
        <v>40</v>
      </c>
      <c r="H144" t="s">
        <v>2</v>
      </c>
      <c r="I144">
        <v>259</v>
      </c>
      <c r="J144">
        <v>207</v>
      </c>
      <c r="K144" s="4">
        <v>45066</v>
      </c>
    </row>
    <row r="145" spans="5:11" x14ac:dyDescent="0.3">
      <c r="E145">
        <v>141</v>
      </c>
      <c r="F145" t="s">
        <v>29</v>
      </c>
      <c r="G145" t="s">
        <v>40</v>
      </c>
      <c r="H145" t="s">
        <v>23</v>
      </c>
      <c r="I145">
        <v>42</v>
      </c>
      <c r="J145">
        <v>150</v>
      </c>
      <c r="K145" s="4">
        <v>45067</v>
      </c>
    </row>
    <row r="146" spans="5:11" x14ac:dyDescent="0.3">
      <c r="E146">
        <v>142</v>
      </c>
      <c r="F146" t="s">
        <v>30</v>
      </c>
      <c r="G146" t="s">
        <v>38</v>
      </c>
      <c r="H146" t="s">
        <v>19</v>
      </c>
      <c r="I146">
        <v>98</v>
      </c>
      <c r="J146">
        <v>204</v>
      </c>
      <c r="K146" s="4">
        <v>45068</v>
      </c>
    </row>
    <row r="147" spans="5:11" x14ac:dyDescent="0.3">
      <c r="E147">
        <v>143</v>
      </c>
      <c r="F147" t="s">
        <v>31</v>
      </c>
      <c r="G147" t="s">
        <v>45</v>
      </c>
      <c r="H147" t="s">
        <v>20</v>
      </c>
      <c r="I147">
        <v>2478</v>
      </c>
      <c r="J147">
        <v>21</v>
      </c>
      <c r="K147" s="4">
        <v>45069</v>
      </c>
    </row>
    <row r="148" spans="5:11" x14ac:dyDescent="0.3">
      <c r="E148">
        <v>144</v>
      </c>
      <c r="F148" t="s">
        <v>30</v>
      </c>
      <c r="G148" t="s">
        <v>39</v>
      </c>
      <c r="H148" t="s">
        <v>26</v>
      </c>
      <c r="I148">
        <v>7847</v>
      </c>
      <c r="J148">
        <v>174</v>
      </c>
      <c r="K148" s="4">
        <v>45070</v>
      </c>
    </row>
    <row r="149" spans="5:11" x14ac:dyDescent="0.3">
      <c r="E149">
        <v>145</v>
      </c>
      <c r="F149" t="s">
        <v>28</v>
      </c>
      <c r="G149" t="s">
        <v>40</v>
      </c>
      <c r="H149" t="s">
        <v>10</v>
      </c>
      <c r="I149">
        <v>9926</v>
      </c>
      <c r="J149">
        <v>201</v>
      </c>
      <c r="K149" s="4">
        <v>45071</v>
      </c>
    </row>
    <row r="150" spans="5:11" x14ac:dyDescent="0.3">
      <c r="E150">
        <v>146</v>
      </c>
      <c r="F150" t="s">
        <v>29</v>
      </c>
      <c r="G150" t="s">
        <v>37</v>
      </c>
      <c r="H150" t="s">
        <v>6</v>
      </c>
      <c r="I150">
        <v>819</v>
      </c>
      <c r="J150">
        <v>510</v>
      </c>
      <c r="K150" s="4">
        <v>45072</v>
      </c>
    </row>
    <row r="151" spans="5:11" x14ac:dyDescent="0.3">
      <c r="E151">
        <v>147</v>
      </c>
      <c r="F151" t="s">
        <v>32</v>
      </c>
      <c r="G151" t="s">
        <v>44</v>
      </c>
      <c r="H151" t="s">
        <v>22</v>
      </c>
      <c r="I151">
        <v>3052</v>
      </c>
      <c r="J151">
        <v>378</v>
      </c>
      <c r="K151" s="4">
        <v>45073</v>
      </c>
    </row>
    <row r="152" spans="5:11" x14ac:dyDescent="0.3">
      <c r="E152">
        <v>148</v>
      </c>
      <c r="F152" t="s">
        <v>3</v>
      </c>
      <c r="G152" t="s">
        <v>39</v>
      </c>
      <c r="H152" t="s">
        <v>14</v>
      </c>
      <c r="I152">
        <v>6832</v>
      </c>
      <c r="J152">
        <v>27</v>
      </c>
      <c r="K152" s="4">
        <v>45074</v>
      </c>
    </row>
    <row r="153" spans="5:11" x14ac:dyDescent="0.3">
      <c r="E153">
        <v>149</v>
      </c>
      <c r="F153" t="s">
        <v>28</v>
      </c>
      <c r="G153" t="s">
        <v>44</v>
      </c>
      <c r="H153" t="s">
        <v>9</v>
      </c>
      <c r="I153">
        <v>2016</v>
      </c>
      <c r="J153">
        <v>117</v>
      </c>
      <c r="K153" s="4">
        <v>45075</v>
      </c>
    </row>
    <row r="154" spans="5:11" x14ac:dyDescent="0.3">
      <c r="E154">
        <v>150</v>
      </c>
      <c r="F154" t="s">
        <v>32</v>
      </c>
      <c r="G154" t="s">
        <v>37</v>
      </c>
      <c r="H154" t="s">
        <v>14</v>
      </c>
      <c r="I154">
        <v>7322</v>
      </c>
      <c r="J154">
        <v>36</v>
      </c>
      <c r="K154" s="4">
        <v>45076</v>
      </c>
    </row>
    <row r="155" spans="5:11" x14ac:dyDescent="0.3">
      <c r="E155">
        <v>151</v>
      </c>
      <c r="F155" t="s">
        <v>29</v>
      </c>
      <c r="G155" t="s">
        <v>45</v>
      </c>
      <c r="H155" t="s">
        <v>26</v>
      </c>
      <c r="I155">
        <v>357</v>
      </c>
      <c r="J155">
        <v>126</v>
      </c>
      <c r="K155" s="4">
        <v>45077</v>
      </c>
    </row>
    <row r="156" spans="5:11" x14ac:dyDescent="0.3">
      <c r="E156">
        <v>152</v>
      </c>
      <c r="F156" t="s">
        <v>3</v>
      </c>
      <c r="G156" t="s">
        <v>44</v>
      </c>
      <c r="H156" t="s">
        <v>18</v>
      </c>
      <c r="I156">
        <v>3192</v>
      </c>
      <c r="J156">
        <v>72</v>
      </c>
      <c r="K156" s="4">
        <v>45078</v>
      </c>
    </row>
    <row r="157" spans="5:11" x14ac:dyDescent="0.3">
      <c r="E157">
        <v>153</v>
      </c>
      <c r="F157" t="s">
        <v>31</v>
      </c>
      <c r="G157" t="s">
        <v>38</v>
      </c>
      <c r="H157" t="s">
        <v>15</v>
      </c>
      <c r="I157">
        <v>8435</v>
      </c>
      <c r="J157">
        <v>42</v>
      </c>
      <c r="K157" s="4">
        <v>45079</v>
      </c>
    </row>
    <row r="158" spans="5:11" x14ac:dyDescent="0.3">
      <c r="E158">
        <v>154</v>
      </c>
      <c r="F158" t="s">
        <v>36</v>
      </c>
      <c r="G158" t="s">
        <v>44</v>
      </c>
      <c r="H158" t="s">
        <v>22</v>
      </c>
      <c r="I158">
        <v>0</v>
      </c>
      <c r="J158">
        <v>135</v>
      </c>
      <c r="K158" s="4">
        <v>45080</v>
      </c>
    </row>
    <row r="159" spans="5:11" x14ac:dyDescent="0.3">
      <c r="E159">
        <v>155</v>
      </c>
      <c r="F159" t="s">
        <v>31</v>
      </c>
      <c r="G159" t="s">
        <v>39</v>
      </c>
      <c r="H159" t="s">
        <v>17</v>
      </c>
      <c r="I159">
        <v>8862</v>
      </c>
      <c r="J159">
        <v>189</v>
      </c>
      <c r="K159" s="4">
        <v>45081</v>
      </c>
    </row>
    <row r="160" spans="5:11" x14ac:dyDescent="0.3">
      <c r="E160">
        <v>156</v>
      </c>
      <c r="F160" t="s">
        <v>32</v>
      </c>
      <c r="G160" t="s">
        <v>40</v>
      </c>
      <c r="H160" t="s">
        <v>21</v>
      </c>
      <c r="I160">
        <v>3556</v>
      </c>
      <c r="J160">
        <v>459</v>
      </c>
      <c r="K160" s="4">
        <v>45082</v>
      </c>
    </row>
    <row r="161" spans="5:11" x14ac:dyDescent="0.3">
      <c r="E161">
        <v>157</v>
      </c>
      <c r="F161" t="s">
        <v>33</v>
      </c>
      <c r="G161" t="s">
        <v>39</v>
      </c>
      <c r="H161" t="s">
        <v>8</v>
      </c>
      <c r="I161">
        <v>7280</v>
      </c>
      <c r="J161">
        <v>201</v>
      </c>
      <c r="K161" s="4">
        <v>45083</v>
      </c>
    </row>
    <row r="162" spans="5:11" x14ac:dyDescent="0.3">
      <c r="E162">
        <v>158</v>
      </c>
      <c r="F162" t="s">
        <v>32</v>
      </c>
      <c r="G162" t="s">
        <v>39</v>
      </c>
      <c r="H162" t="s">
        <v>23</v>
      </c>
      <c r="I162">
        <v>3402</v>
      </c>
      <c r="J162">
        <v>366</v>
      </c>
      <c r="K162" s="4">
        <v>45084</v>
      </c>
    </row>
    <row r="163" spans="5:11" x14ac:dyDescent="0.3">
      <c r="E163">
        <v>159</v>
      </c>
      <c r="F163" t="s">
        <v>34</v>
      </c>
      <c r="G163" t="s">
        <v>40</v>
      </c>
      <c r="H163" t="s">
        <v>22</v>
      </c>
      <c r="I163">
        <v>4592</v>
      </c>
      <c r="J163">
        <v>324</v>
      </c>
      <c r="K163" s="4">
        <v>45085</v>
      </c>
    </row>
    <row r="164" spans="5:11" x14ac:dyDescent="0.3">
      <c r="E164">
        <v>160</v>
      </c>
      <c r="F164" t="s">
        <v>3</v>
      </c>
      <c r="G164" t="s">
        <v>45</v>
      </c>
      <c r="H164" t="s">
        <v>8</v>
      </c>
      <c r="I164">
        <v>7833</v>
      </c>
      <c r="J164">
        <v>243</v>
      </c>
      <c r="K164" s="4">
        <v>45086</v>
      </c>
    </row>
    <row r="165" spans="5:11" x14ac:dyDescent="0.3">
      <c r="E165">
        <v>161</v>
      </c>
      <c r="F165" t="s">
        <v>28</v>
      </c>
      <c r="G165" t="s">
        <v>44</v>
      </c>
      <c r="H165" t="s">
        <v>14</v>
      </c>
      <c r="I165">
        <v>7651</v>
      </c>
      <c r="J165">
        <v>213</v>
      </c>
      <c r="K165" s="4">
        <v>45087</v>
      </c>
    </row>
    <row r="166" spans="5:11" x14ac:dyDescent="0.3">
      <c r="E166">
        <v>162</v>
      </c>
      <c r="F166" t="s">
        <v>36</v>
      </c>
      <c r="G166" t="s">
        <v>45</v>
      </c>
      <c r="H166" t="s">
        <v>23</v>
      </c>
      <c r="I166">
        <v>2275</v>
      </c>
      <c r="J166">
        <v>447</v>
      </c>
      <c r="K166" s="4">
        <v>45088</v>
      </c>
    </row>
    <row r="167" spans="5:11" x14ac:dyDescent="0.3">
      <c r="E167">
        <v>163</v>
      </c>
      <c r="F167" t="s">
        <v>36</v>
      </c>
      <c r="G167" t="s">
        <v>37</v>
      </c>
      <c r="H167" t="s">
        <v>6</v>
      </c>
      <c r="I167">
        <v>5670</v>
      </c>
      <c r="J167">
        <v>297</v>
      </c>
      <c r="K167" s="4">
        <v>45089</v>
      </c>
    </row>
    <row r="168" spans="5:11" x14ac:dyDescent="0.3">
      <c r="E168">
        <v>164</v>
      </c>
      <c r="F168" t="s">
        <v>31</v>
      </c>
      <c r="G168" t="s">
        <v>45</v>
      </c>
      <c r="H168" t="s">
        <v>9</v>
      </c>
      <c r="I168">
        <v>2135</v>
      </c>
      <c r="J168">
        <v>27</v>
      </c>
      <c r="K168" s="4">
        <v>45090</v>
      </c>
    </row>
    <row r="169" spans="5:11" x14ac:dyDescent="0.3">
      <c r="E169">
        <v>165</v>
      </c>
      <c r="F169" t="s">
        <v>36</v>
      </c>
      <c r="G169" t="s">
        <v>39</v>
      </c>
      <c r="H169" t="s">
        <v>16</v>
      </c>
      <c r="I169">
        <v>2779</v>
      </c>
      <c r="J169">
        <v>75</v>
      </c>
      <c r="K169" s="4">
        <v>45091</v>
      </c>
    </row>
    <row r="170" spans="5:11" x14ac:dyDescent="0.3">
      <c r="E170">
        <v>166</v>
      </c>
      <c r="F170" t="s">
        <v>35</v>
      </c>
      <c r="G170" t="s">
        <v>44</v>
      </c>
      <c r="H170" t="s">
        <v>26</v>
      </c>
      <c r="I170">
        <v>12950</v>
      </c>
      <c r="J170">
        <v>30</v>
      </c>
      <c r="K170" s="4">
        <v>45092</v>
      </c>
    </row>
    <row r="171" spans="5:11" x14ac:dyDescent="0.3">
      <c r="E171">
        <v>167</v>
      </c>
      <c r="F171" t="s">
        <v>31</v>
      </c>
      <c r="G171" t="s">
        <v>38</v>
      </c>
      <c r="H171" t="s">
        <v>11</v>
      </c>
      <c r="I171">
        <v>2646</v>
      </c>
      <c r="J171">
        <v>177</v>
      </c>
      <c r="K171" s="4">
        <v>45093</v>
      </c>
    </row>
    <row r="172" spans="5:11" x14ac:dyDescent="0.3">
      <c r="E172">
        <v>168</v>
      </c>
      <c r="F172" t="s">
        <v>36</v>
      </c>
      <c r="G172" t="s">
        <v>39</v>
      </c>
      <c r="H172" t="s">
        <v>26</v>
      </c>
      <c r="I172">
        <v>3794</v>
      </c>
      <c r="J172">
        <v>159</v>
      </c>
      <c r="K172" s="4">
        <v>45094</v>
      </c>
    </row>
    <row r="173" spans="5:11" x14ac:dyDescent="0.3">
      <c r="E173">
        <v>169</v>
      </c>
      <c r="F173" t="s">
        <v>34</v>
      </c>
      <c r="G173" t="s">
        <v>45</v>
      </c>
      <c r="H173" t="s">
        <v>26</v>
      </c>
      <c r="I173">
        <v>819</v>
      </c>
      <c r="J173">
        <v>306</v>
      </c>
      <c r="K173" s="4">
        <v>45095</v>
      </c>
    </row>
    <row r="174" spans="5:11" x14ac:dyDescent="0.3">
      <c r="E174">
        <v>170</v>
      </c>
      <c r="F174" t="s">
        <v>34</v>
      </c>
      <c r="G174" t="s">
        <v>39</v>
      </c>
      <c r="H174" t="s">
        <v>13</v>
      </c>
      <c r="I174">
        <v>2583</v>
      </c>
      <c r="J174">
        <v>18</v>
      </c>
      <c r="K174" s="4">
        <v>45096</v>
      </c>
    </row>
    <row r="175" spans="5:11" x14ac:dyDescent="0.3">
      <c r="E175">
        <v>171</v>
      </c>
      <c r="F175" t="s">
        <v>31</v>
      </c>
      <c r="G175" t="s">
        <v>45</v>
      </c>
      <c r="H175" t="s">
        <v>12</v>
      </c>
      <c r="I175">
        <v>4585</v>
      </c>
      <c r="J175">
        <v>240</v>
      </c>
      <c r="K175" s="4">
        <v>45097</v>
      </c>
    </row>
    <row r="176" spans="5:11" x14ac:dyDescent="0.3">
      <c r="E176">
        <v>172</v>
      </c>
      <c r="F176" t="s">
        <v>33</v>
      </c>
      <c r="G176" t="s">
        <v>39</v>
      </c>
      <c r="H176" t="s">
        <v>26</v>
      </c>
      <c r="I176">
        <v>1652</v>
      </c>
      <c r="J176">
        <v>93</v>
      </c>
      <c r="K176" s="4">
        <v>45098</v>
      </c>
    </row>
    <row r="177" spans="5:11" x14ac:dyDescent="0.3">
      <c r="E177">
        <v>173</v>
      </c>
      <c r="F177" t="s">
        <v>35</v>
      </c>
      <c r="G177" t="s">
        <v>39</v>
      </c>
      <c r="H177" t="s">
        <v>19</v>
      </c>
      <c r="I177">
        <v>4991</v>
      </c>
      <c r="J177">
        <v>9</v>
      </c>
      <c r="K177" s="4">
        <v>45099</v>
      </c>
    </row>
    <row r="178" spans="5:11" x14ac:dyDescent="0.3">
      <c r="E178">
        <v>174</v>
      </c>
      <c r="F178" t="s">
        <v>29</v>
      </c>
      <c r="G178" t="s">
        <v>39</v>
      </c>
      <c r="H178" t="s">
        <v>9</v>
      </c>
      <c r="I178">
        <v>2009</v>
      </c>
      <c r="J178">
        <v>219</v>
      </c>
      <c r="K178" s="4">
        <v>45100</v>
      </c>
    </row>
    <row r="179" spans="5:11" x14ac:dyDescent="0.3">
      <c r="E179">
        <v>175</v>
      </c>
      <c r="F179" t="s">
        <v>28</v>
      </c>
      <c r="G179" t="s">
        <v>44</v>
      </c>
      <c r="H179" t="s">
        <v>15</v>
      </c>
      <c r="I179">
        <v>1568</v>
      </c>
      <c r="J179">
        <v>141</v>
      </c>
      <c r="K179" s="4">
        <v>45101</v>
      </c>
    </row>
    <row r="180" spans="5:11" x14ac:dyDescent="0.3">
      <c r="E180">
        <v>176</v>
      </c>
      <c r="F180" t="s">
        <v>30</v>
      </c>
      <c r="G180" t="s">
        <v>40</v>
      </c>
      <c r="H180" t="s">
        <v>13</v>
      </c>
      <c r="I180">
        <v>3388</v>
      </c>
      <c r="J180">
        <v>123</v>
      </c>
      <c r="K180" s="4">
        <v>45102</v>
      </c>
    </row>
    <row r="181" spans="5:11" x14ac:dyDescent="0.3">
      <c r="E181">
        <v>177</v>
      </c>
      <c r="F181" t="s">
        <v>36</v>
      </c>
      <c r="G181" t="s">
        <v>37</v>
      </c>
      <c r="H181" t="s">
        <v>17</v>
      </c>
      <c r="I181">
        <v>623</v>
      </c>
      <c r="J181">
        <v>51</v>
      </c>
      <c r="K181" s="4">
        <v>45103</v>
      </c>
    </row>
    <row r="182" spans="5:11" x14ac:dyDescent="0.3">
      <c r="E182">
        <v>178</v>
      </c>
      <c r="F182" t="s">
        <v>32</v>
      </c>
      <c r="G182" t="s">
        <v>38</v>
      </c>
      <c r="H182" t="s">
        <v>2</v>
      </c>
      <c r="I182">
        <v>10073</v>
      </c>
      <c r="J182">
        <v>120</v>
      </c>
      <c r="K182" s="4">
        <v>45104</v>
      </c>
    </row>
    <row r="183" spans="5:11" x14ac:dyDescent="0.3">
      <c r="E183">
        <v>179</v>
      </c>
      <c r="F183" t="s">
        <v>29</v>
      </c>
      <c r="G183" t="s">
        <v>44</v>
      </c>
      <c r="H183" t="s">
        <v>19</v>
      </c>
      <c r="I183">
        <v>1561</v>
      </c>
      <c r="J183">
        <v>27</v>
      </c>
      <c r="K183" s="4">
        <v>45105</v>
      </c>
    </row>
    <row r="184" spans="5:11" x14ac:dyDescent="0.3">
      <c r="E184">
        <v>180</v>
      </c>
      <c r="F184" t="s">
        <v>3</v>
      </c>
      <c r="G184" t="s">
        <v>38</v>
      </c>
      <c r="H184" t="s">
        <v>20</v>
      </c>
      <c r="I184">
        <v>11522</v>
      </c>
      <c r="J184">
        <v>204</v>
      </c>
      <c r="K184" s="4">
        <v>45106</v>
      </c>
    </row>
    <row r="185" spans="5:11" x14ac:dyDescent="0.3">
      <c r="E185">
        <v>181</v>
      </c>
      <c r="F185" t="s">
        <v>32</v>
      </c>
      <c r="G185" t="s">
        <v>37</v>
      </c>
      <c r="H185" t="s">
        <v>6</v>
      </c>
      <c r="I185">
        <v>2317</v>
      </c>
      <c r="J185">
        <v>123</v>
      </c>
      <c r="K185" s="4">
        <v>45107</v>
      </c>
    </row>
    <row r="186" spans="5:11" x14ac:dyDescent="0.3">
      <c r="E186">
        <v>182</v>
      </c>
      <c r="F186" t="s">
        <v>35</v>
      </c>
      <c r="G186" t="s">
        <v>40</v>
      </c>
      <c r="H186" t="s">
        <v>21</v>
      </c>
      <c r="I186">
        <v>3059</v>
      </c>
      <c r="J186">
        <v>27</v>
      </c>
      <c r="K186" s="4">
        <v>45108</v>
      </c>
    </row>
    <row r="187" spans="5:11" x14ac:dyDescent="0.3">
      <c r="E187">
        <v>183</v>
      </c>
      <c r="F187" t="s">
        <v>30</v>
      </c>
      <c r="G187" t="s">
        <v>40</v>
      </c>
      <c r="H187" t="s">
        <v>19</v>
      </c>
      <c r="I187">
        <v>2324</v>
      </c>
      <c r="J187">
        <v>177</v>
      </c>
      <c r="K187" s="4">
        <v>45109</v>
      </c>
    </row>
    <row r="188" spans="5:11" x14ac:dyDescent="0.3">
      <c r="E188">
        <v>184</v>
      </c>
      <c r="F188" t="s">
        <v>34</v>
      </c>
      <c r="G188" t="s">
        <v>44</v>
      </c>
      <c r="H188" t="s">
        <v>19</v>
      </c>
      <c r="I188">
        <v>4956</v>
      </c>
      <c r="J188">
        <v>171</v>
      </c>
      <c r="K188" s="4">
        <v>45110</v>
      </c>
    </row>
    <row r="189" spans="5:11" x14ac:dyDescent="0.3">
      <c r="E189">
        <v>185</v>
      </c>
      <c r="F189" t="s">
        <v>35</v>
      </c>
      <c r="G189" t="s">
        <v>39</v>
      </c>
      <c r="H189" t="s">
        <v>12</v>
      </c>
      <c r="I189">
        <v>5355</v>
      </c>
      <c r="J189">
        <v>204</v>
      </c>
      <c r="K189" s="4">
        <v>45111</v>
      </c>
    </row>
    <row r="190" spans="5:11" x14ac:dyDescent="0.3">
      <c r="E190">
        <v>186</v>
      </c>
      <c r="F190" t="s">
        <v>34</v>
      </c>
      <c r="G190" t="s">
        <v>39</v>
      </c>
      <c r="H190" t="s">
        <v>7</v>
      </c>
      <c r="I190">
        <v>7259</v>
      </c>
      <c r="J190">
        <v>276</v>
      </c>
      <c r="K190" s="4">
        <v>45112</v>
      </c>
    </row>
    <row r="191" spans="5:11" x14ac:dyDescent="0.3">
      <c r="E191">
        <v>187</v>
      </c>
      <c r="F191" t="s">
        <v>29</v>
      </c>
      <c r="G191" t="s">
        <v>40</v>
      </c>
      <c r="H191" t="s">
        <v>19</v>
      </c>
      <c r="I191">
        <v>6279</v>
      </c>
      <c r="J191">
        <v>45</v>
      </c>
      <c r="K191" s="4">
        <v>45113</v>
      </c>
    </row>
    <row r="192" spans="5:11" x14ac:dyDescent="0.3">
      <c r="E192">
        <v>188</v>
      </c>
      <c r="F192" t="s">
        <v>36</v>
      </c>
      <c r="G192" t="s">
        <v>37</v>
      </c>
      <c r="H192" t="s">
        <v>22</v>
      </c>
      <c r="I192">
        <v>2541</v>
      </c>
      <c r="J192">
        <v>45</v>
      </c>
      <c r="K192" s="4">
        <v>45114</v>
      </c>
    </row>
    <row r="193" spans="5:11" x14ac:dyDescent="0.3">
      <c r="E193">
        <v>189</v>
      </c>
      <c r="F193" t="s">
        <v>32</v>
      </c>
      <c r="G193" t="s">
        <v>45</v>
      </c>
      <c r="H193" t="s">
        <v>20</v>
      </c>
      <c r="I193">
        <v>3864</v>
      </c>
      <c r="J193">
        <v>177</v>
      </c>
      <c r="K193" s="4">
        <v>45115</v>
      </c>
    </row>
    <row r="194" spans="5:11" x14ac:dyDescent="0.3">
      <c r="E194">
        <v>190</v>
      </c>
      <c r="F194" t="s">
        <v>33</v>
      </c>
      <c r="G194" t="s">
        <v>38</v>
      </c>
      <c r="H194" t="s">
        <v>6</v>
      </c>
      <c r="I194">
        <v>6146</v>
      </c>
      <c r="J194">
        <v>63</v>
      </c>
      <c r="K194" s="4">
        <v>45116</v>
      </c>
    </row>
    <row r="195" spans="5:11" x14ac:dyDescent="0.3">
      <c r="E195">
        <v>191</v>
      </c>
      <c r="F195" t="s">
        <v>3</v>
      </c>
      <c r="G195" t="s">
        <v>44</v>
      </c>
      <c r="H195" t="s">
        <v>11</v>
      </c>
      <c r="I195">
        <v>2639</v>
      </c>
      <c r="J195">
        <v>204</v>
      </c>
      <c r="K195" s="4">
        <v>45117</v>
      </c>
    </row>
    <row r="196" spans="5:11" x14ac:dyDescent="0.3">
      <c r="E196">
        <v>192</v>
      </c>
      <c r="F196" t="s">
        <v>29</v>
      </c>
      <c r="G196" t="s">
        <v>40</v>
      </c>
      <c r="H196" t="s">
        <v>15</v>
      </c>
      <c r="I196">
        <v>1890</v>
      </c>
      <c r="J196">
        <v>195</v>
      </c>
      <c r="K196" s="4">
        <v>45118</v>
      </c>
    </row>
    <row r="197" spans="5:11" x14ac:dyDescent="0.3">
      <c r="E197">
        <v>193</v>
      </c>
      <c r="F197" t="s">
        <v>31</v>
      </c>
      <c r="G197" t="s">
        <v>39</v>
      </c>
      <c r="H197" t="s">
        <v>7</v>
      </c>
      <c r="I197">
        <v>1932</v>
      </c>
      <c r="J197">
        <v>369</v>
      </c>
      <c r="K197" s="4">
        <v>45119</v>
      </c>
    </row>
    <row r="198" spans="5:11" x14ac:dyDescent="0.3">
      <c r="E198">
        <v>194</v>
      </c>
      <c r="F198" t="s">
        <v>34</v>
      </c>
      <c r="G198" t="s">
        <v>39</v>
      </c>
      <c r="H198" t="s">
        <v>18</v>
      </c>
      <c r="I198">
        <v>6300</v>
      </c>
      <c r="J198">
        <v>42</v>
      </c>
      <c r="K198" s="4">
        <v>45120</v>
      </c>
    </row>
    <row r="199" spans="5:11" x14ac:dyDescent="0.3">
      <c r="E199">
        <v>195</v>
      </c>
      <c r="F199" t="s">
        <v>32</v>
      </c>
      <c r="G199" t="s">
        <v>40</v>
      </c>
      <c r="H199" t="s">
        <v>23</v>
      </c>
      <c r="I199">
        <v>560</v>
      </c>
      <c r="J199">
        <v>81</v>
      </c>
      <c r="K199" s="4">
        <v>45121</v>
      </c>
    </row>
    <row r="200" spans="5:11" x14ac:dyDescent="0.3">
      <c r="E200">
        <v>196</v>
      </c>
      <c r="F200" t="s">
        <v>3</v>
      </c>
      <c r="G200" t="s">
        <v>40</v>
      </c>
      <c r="H200" t="s">
        <v>19</v>
      </c>
      <c r="I200">
        <v>2856</v>
      </c>
      <c r="J200">
        <v>246</v>
      </c>
      <c r="K200" s="4">
        <v>45122</v>
      </c>
    </row>
    <row r="201" spans="5:11" x14ac:dyDescent="0.3">
      <c r="E201">
        <v>197</v>
      </c>
      <c r="F201" t="s">
        <v>3</v>
      </c>
      <c r="G201" t="s">
        <v>39</v>
      </c>
      <c r="H201" t="s">
        <v>10</v>
      </c>
      <c r="I201">
        <v>707</v>
      </c>
      <c r="J201">
        <v>174</v>
      </c>
      <c r="K201" s="4">
        <v>45123</v>
      </c>
    </row>
    <row r="202" spans="5:11" x14ac:dyDescent="0.3">
      <c r="E202">
        <v>198</v>
      </c>
      <c r="F202" t="s">
        <v>29</v>
      </c>
      <c r="G202" t="s">
        <v>45</v>
      </c>
      <c r="H202" t="s">
        <v>23</v>
      </c>
      <c r="I202">
        <v>3598</v>
      </c>
      <c r="J202">
        <v>81</v>
      </c>
      <c r="K202" s="4">
        <v>45124</v>
      </c>
    </row>
    <row r="203" spans="5:11" x14ac:dyDescent="0.3">
      <c r="E203">
        <v>199</v>
      </c>
      <c r="F203" t="s">
        <v>36</v>
      </c>
      <c r="G203" t="s">
        <v>45</v>
      </c>
      <c r="H203" t="s">
        <v>15</v>
      </c>
      <c r="I203">
        <v>6853</v>
      </c>
      <c r="J203">
        <v>372</v>
      </c>
      <c r="K203" s="4">
        <v>45125</v>
      </c>
    </row>
    <row r="204" spans="5:11" x14ac:dyDescent="0.3">
      <c r="E204">
        <v>200</v>
      </c>
      <c r="F204" t="s">
        <v>36</v>
      </c>
      <c r="G204" t="s">
        <v>45</v>
      </c>
      <c r="H204" t="s">
        <v>9</v>
      </c>
      <c r="I204">
        <v>4725</v>
      </c>
      <c r="J204">
        <v>174</v>
      </c>
      <c r="K204" s="4">
        <v>45126</v>
      </c>
    </row>
    <row r="205" spans="5:11" x14ac:dyDescent="0.3">
      <c r="E205">
        <v>201</v>
      </c>
      <c r="F205" t="s">
        <v>30</v>
      </c>
      <c r="G205" t="s">
        <v>38</v>
      </c>
      <c r="H205" t="s">
        <v>25</v>
      </c>
      <c r="I205">
        <v>10304</v>
      </c>
      <c r="J205">
        <v>84</v>
      </c>
      <c r="K205" s="4">
        <v>45127</v>
      </c>
    </row>
    <row r="206" spans="5:11" x14ac:dyDescent="0.3">
      <c r="E206">
        <v>202</v>
      </c>
      <c r="F206" t="s">
        <v>30</v>
      </c>
      <c r="G206" t="s">
        <v>39</v>
      </c>
      <c r="H206" t="s">
        <v>9</v>
      </c>
      <c r="I206">
        <v>1274</v>
      </c>
      <c r="J206">
        <v>225</v>
      </c>
      <c r="K206" s="4">
        <v>45128</v>
      </c>
    </row>
    <row r="207" spans="5:11" x14ac:dyDescent="0.3">
      <c r="E207">
        <v>203</v>
      </c>
      <c r="F207" t="s">
        <v>33</v>
      </c>
      <c r="G207" t="s">
        <v>38</v>
      </c>
      <c r="H207" t="s">
        <v>23</v>
      </c>
      <c r="I207">
        <v>1526</v>
      </c>
      <c r="J207">
        <v>105</v>
      </c>
      <c r="K207" s="4">
        <v>45129</v>
      </c>
    </row>
    <row r="208" spans="5:11" x14ac:dyDescent="0.3">
      <c r="E208">
        <v>204</v>
      </c>
      <c r="F208" t="s">
        <v>36</v>
      </c>
      <c r="G208" t="s">
        <v>44</v>
      </c>
      <c r="H208" t="s">
        <v>21</v>
      </c>
      <c r="I208">
        <v>3101</v>
      </c>
      <c r="J208">
        <v>225</v>
      </c>
      <c r="K208" s="4">
        <v>45130</v>
      </c>
    </row>
    <row r="209" spans="5:11" x14ac:dyDescent="0.3">
      <c r="E209">
        <v>205</v>
      </c>
      <c r="F209" t="s">
        <v>28</v>
      </c>
      <c r="G209" t="s">
        <v>40</v>
      </c>
      <c r="H209" t="s">
        <v>7</v>
      </c>
      <c r="I209">
        <v>1057</v>
      </c>
      <c r="J209">
        <v>54</v>
      </c>
      <c r="K209" s="4">
        <v>45131</v>
      </c>
    </row>
    <row r="210" spans="5:11" x14ac:dyDescent="0.3">
      <c r="E210">
        <v>206</v>
      </c>
      <c r="F210" t="s">
        <v>31</v>
      </c>
      <c r="G210" t="s">
        <v>40</v>
      </c>
      <c r="H210" t="s">
        <v>19</v>
      </c>
      <c r="I210">
        <v>5306</v>
      </c>
      <c r="J210">
        <v>0</v>
      </c>
      <c r="K210" s="4">
        <v>45132</v>
      </c>
    </row>
    <row r="211" spans="5:11" x14ac:dyDescent="0.3">
      <c r="E211">
        <v>207</v>
      </c>
      <c r="F211" t="s">
        <v>33</v>
      </c>
      <c r="G211" t="s">
        <v>44</v>
      </c>
      <c r="H211" t="s">
        <v>17</v>
      </c>
      <c r="I211">
        <v>4018</v>
      </c>
      <c r="J211">
        <v>171</v>
      </c>
      <c r="K211" s="4">
        <v>45133</v>
      </c>
    </row>
    <row r="212" spans="5:11" x14ac:dyDescent="0.3">
      <c r="E212">
        <v>208</v>
      </c>
      <c r="F212" t="s">
        <v>3</v>
      </c>
      <c r="G212" t="s">
        <v>39</v>
      </c>
      <c r="H212" t="s">
        <v>9</v>
      </c>
      <c r="I212">
        <v>938</v>
      </c>
      <c r="J212">
        <v>189</v>
      </c>
      <c r="K212" s="4">
        <v>45134</v>
      </c>
    </row>
    <row r="213" spans="5:11" x14ac:dyDescent="0.3">
      <c r="E213">
        <v>209</v>
      </c>
      <c r="F213" t="s">
        <v>31</v>
      </c>
      <c r="G213" t="s">
        <v>37</v>
      </c>
      <c r="H213" t="s">
        <v>11</v>
      </c>
      <c r="I213">
        <v>1778</v>
      </c>
      <c r="J213">
        <v>270</v>
      </c>
      <c r="K213" s="4">
        <v>45135</v>
      </c>
    </row>
    <row r="214" spans="5:11" x14ac:dyDescent="0.3">
      <c r="E214">
        <v>210</v>
      </c>
      <c r="F214" t="s">
        <v>32</v>
      </c>
      <c r="G214" t="s">
        <v>44</v>
      </c>
      <c r="H214" t="s">
        <v>23</v>
      </c>
      <c r="I214">
        <v>1638</v>
      </c>
      <c r="J214">
        <v>63</v>
      </c>
      <c r="K214" s="4">
        <v>45136</v>
      </c>
    </row>
    <row r="215" spans="5:11" x14ac:dyDescent="0.3">
      <c r="E215">
        <v>211</v>
      </c>
      <c r="F215" t="s">
        <v>30</v>
      </c>
      <c r="G215" t="s">
        <v>37</v>
      </c>
      <c r="H215" t="s">
        <v>18</v>
      </c>
      <c r="I215">
        <v>154</v>
      </c>
      <c r="J215">
        <v>21</v>
      </c>
      <c r="K215" s="4">
        <v>45137</v>
      </c>
    </row>
    <row r="216" spans="5:11" x14ac:dyDescent="0.3">
      <c r="E216">
        <v>212</v>
      </c>
      <c r="F216" t="s">
        <v>31</v>
      </c>
      <c r="G216" t="s">
        <v>40</v>
      </c>
      <c r="H216" t="s">
        <v>15</v>
      </c>
      <c r="I216">
        <v>9835</v>
      </c>
      <c r="J216">
        <v>207</v>
      </c>
      <c r="K216" s="4">
        <v>45138</v>
      </c>
    </row>
    <row r="217" spans="5:11" x14ac:dyDescent="0.3">
      <c r="E217">
        <v>213</v>
      </c>
      <c r="F217" t="s">
        <v>3</v>
      </c>
      <c r="G217" t="s">
        <v>40</v>
      </c>
      <c r="H217" t="s">
        <v>13</v>
      </c>
      <c r="I217">
        <v>7273</v>
      </c>
      <c r="J217">
        <v>96</v>
      </c>
      <c r="K217" s="4">
        <v>45139</v>
      </c>
    </row>
    <row r="218" spans="5:11" x14ac:dyDescent="0.3">
      <c r="E218">
        <v>214</v>
      </c>
      <c r="F218" t="s">
        <v>33</v>
      </c>
      <c r="G218" t="s">
        <v>44</v>
      </c>
      <c r="H218" t="s">
        <v>15</v>
      </c>
      <c r="I218">
        <v>6909</v>
      </c>
      <c r="J218">
        <v>81</v>
      </c>
      <c r="K218" s="4">
        <v>45140</v>
      </c>
    </row>
    <row r="219" spans="5:11" x14ac:dyDescent="0.3">
      <c r="E219">
        <v>215</v>
      </c>
      <c r="F219" t="s">
        <v>3</v>
      </c>
      <c r="G219" t="s">
        <v>44</v>
      </c>
      <c r="H219" t="s">
        <v>17</v>
      </c>
      <c r="I219">
        <v>3920</v>
      </c>
      <c r="J219">
        <v>306</v>
      </c>
      <c r="K219" s="4">
        <v>45141</v>
      </c>
    </row>
    <row r="220" spans="5:11" x14ac:dyDescent="0.3">
      <c r="E220">
        <v>216</v>
      </c>
      <c r="F220" t="s">
        <v>35</v>
      </c>
      <c r="G220" t="s">
        <v>44</v>
      </c>
      <c r="H220" t="s">
        <v>14</v>
      </c>
      <c r="I220">
        <v>4858</v>
      </c>
      <c r="J220">
        <v>279</v>
      </c>
      <c r="K220" s="4">
        <v>45142</v>
      </c>
    </row>
    <row r="221" spans="5:11" x14ac:dyDescent="0.3">
      <c r="E221">
        <v>217</v>
      </c>
      <c r="F221" t="s">
        <v>28</v>
      </c>
      <c r="G221" t="s">
        <v>37</v>
      </c>
      <c r="H221" t="s">
        <v>2</v>
      </c>
      <c r="I221">
        <v>3549</v>
      </c>
      <c r="J221">
        <v>3</v>
      </c>
      <c r="K221" s="4">
        <v>45143</v>
      </c>
    </row>
    <row r="222" spans="5:11" x14ac:dyDescent="0.3">
      <c r="E222">
        <v>218</v>
      </c>
      <c r="F222" t="s">
        <v>31</v>
      </c>
      <c r="G222" t="s">
        <v>44</v>
      </c>
      <c r="H222" t="s">
        <v>20</v>
      </c>
      <c r="I222">
        <v>966</v>
      </c>
      <c r="J222">
        <v>198</v>
      </c>
      <c r="K222" s="4">
        <v>45144</v>
      </c>
    </row>
    <row r="223" spans="5:11" x14ac:dyDescent="0.3">
      <c r="E223">
        <v>219</v>
      </c>
      <c r="F223" t="s">
        <v>33</v>
      </c>
      <c r="G223" t="s">
        <v>44</v>
      </c>
      <c r="H223" t="s">
        <v>11</v>
      </c>
      <c r="I223">
        <v>385</v>
      </c>
      <c r="J223">
        <v>249</v>
      </c>
      <c r="K223" s="4">
        <v>45145</v>
      </c>
    </row>
    <row r="224" spans="5:11" x14ac:dyDescent="0.3">
      <c r="E224">
        <v>220</v>
      </c>
      <c r="F224" t="s">
        <v>32</v>
      </c>
      <c r="G224" t="s">
        <v>39</v>
      </c>
      <c r="H224" t="s">
        <v>9</v>
      </c>
      <c r="I224">
        <v>2219</v>
      </c>
      <c r="J224">
        <v>75</v>
      </c>
      <c r="K224" s="4">
        <v>45146</v>
      </c>
    </row>
    <row r="225" spans="5:11" x14ac:dyDescent="0.3">
      <c r="E225">
        <v>221</v>
      </c>
      <c r="F225" t="s">
        <v>3</v>
      </c>
      <c r="G225" t="s">
        <v>38</v>
      </c>
      <c r="H225" t="s">
        <v>25</v>
      </c>
      <c r="I225">
        <v>2954</v>
      </c>
      <c r="J225">
        <v>189</v>
      </c>
      <c r="K225" s="4">
        <v>45147</v>
      </c>
    </row>
    <row r="226" spans="5:11" x14ac:dyDescent="0.3">
      <c r="E226">
        <v>222</v>
      </c>
      <c r="F226" t="s">
        <v>31</v>
      </c>
      <c r="G226" t="s">
        <v>38</v>
      </c>
      <c r="H226" t="s">
        <v>25</v>
      </c>
      <c r="I226">
        <v>280</v>
      </c>
      <c r="J226">
        <v>87</v>
      </c>
      <c r="K226" s="4">
        <v>45148</v>
      </c>
    </row>
    <row r="227" spans="5:11" x14ac:dyDescent="0.3">
      <c r="E227">
        <v>223</v>
      </c>
      <c r="F227" t="s">
        <v>30</v>
      </c>
      <c r="G227" t="s">
        <v>38</v>
      </c>
      <c r="H227" t="s">
        <v>23</v>
      </c>
      <c r="I227">
        <v>6118</v>
      </c>
      <c r="J227">
        <v>174</v>
      </c>
      <c r="K227" s="4">
        <v>45149</v>
      </c>
    </row>
    <row r="228" spans="5:11" x14ac:dyDescent="0.3">
      <c r="E228">
        <v>224</v>
      </c>
      <c r="F228" t="s">
        <v>28</v>
      </c>
      <c r="G228" t="s">
        <v>44</v>
      </c>
      <c r="H228" t="s">
        <v>8</v>
      </c>
      <c r="I228">
        <v>4802</v>
      </c>
      <c r="J228">
        <v>36</v>
      </c>
      <c r="K228" s="4">
        <v>45150</v>
      </c>
    </row>
    <row r="229" spans="5:11" x14ac:dyDescent="0.3">
      <c r="E229">
        <v>225</v>
      </c>
      <c r="F229" t="s">
        <v>3</v>
      </c>
      <c r="G229" t="s">
        <v>37</v>
      </c>
      <c r="H229" t="s">
        <v>17</v>
      </c>
      <c r="I229">
        <v>4137</v>
      </c>
      <c r="J229">
        <v>60</v>
      </c>
      <c r="K229" s="4">
        <v>45151</v>
      </c>
    </row>
    <row r="230" spans="5:11" x14ac:dyDescent="0.3">
      <c r="E230">
        <v>226</v>
      </c>
      <c r="F230" t="s">
        <v>34</v>
      </c>
      <c r="G230" t="s">
        <v>45</v>
      </c>
      <c r="H230" t="s">
        <v>16</v>
      </c>
      <c r="I230">
        <v>2023</v>
      </c>
      <c r="J230">
        <v>78</v>
      </c>
      <c r="K230" s="4">
        <v>45152</v>
      </c>
    </row>
    <row r="231" spans="5:11" x14ac:dyDescent="0.3">
      <c r="E231">
        <v>227</v>
      </c>
      <c r="F231" t="s">
        <v>3</v>
      </c>
      <c r="G231" t="s">
        <v>38</v>
      </c>
      <c r="H231" t="s">
        <v>23</v>
      </c>
      <c r="I231">
        <v>9051</v>
      </c>
      <c r="J231">
        <v>57</v>
      </c>
      <c r="K231" s="4">
        <v>45153</v>
      </c>
    </row>
    <row r="232" spans="5:11" x14ac:dyDescent="0.3">
      <c r="E232">
        <v>228</v>
      </c>
      <c r="F232" t="s">
        <v>3</v>
      </c>
      <c r="G232" t="s">
        <v>40</v>
      </c>
      <c r="H232" t="s">
        <v>21</v>
      </c>
      <c r="I232">
        <v>2919</v>
      </c>
      <c r="J232">
        <v>45</v>
      </c>
      <c r="K232" s="4">
        <v>45154</v>
      </c>
    </row>
    <row r="233" spans="5:11" x14ac:dyDescent="0.3">
      <c r="E233">
        <v>229</v>
      </c>
      <c r="F233" t="s">
        <v>30</v>
      </c>
      <c r="G233" t="s">
        <v>37</v>
      </c>
      <c r="H233" t="s">
        <v>15</v>
      </c>
      <c r="I233">
        <v>5915</v>
      </c>
      <c r="J233">
        <v>3</v>
      </c>
      <c r="K233" s="4">
        <v>45155</v>
      </c>
    </row>
    <row r="234" spans="5:11" x14ac:dyDescent="0.3">
      <c r="E234">
        <v>230</v>
      </c>
      <c r="F234" t="s">
        <v>35</v>
      </c>
      <c r="G234" t="s">
        <v>45</v>
      </c>
      <c r="H234" t="s">
        <v>8</v>
      </c>
      <c r="I234">
        <v>2562</v>
      </c>
      <c r="J234">
        <v>6</v>
      </c>
      <c r="K234" s="4">
        <v>45156</v>
      </c>
    </row>
    <row r="235" spans="5:11" x14ac:dyDescent="0.3">
      <c r="E235">
        <v>231</v>
      </c>
      <c r="F235" t="s">
        <v>33</v>
      </c>
      <c r="G235" t="s">
        <v>40</v>
      </c>
      <c r="H235" t="s">
        <v>18</v>
      </c>
      <c r="I235">
        <v>8813</v>
      </c>
      <c r="J235">
        <v>21</v>
      </c>
      <c r="K235" s="4">
        <v>45157</v>
      </c>
    </row>
    <row r="236" spans="5:11" x14ac:dyDescent="0.3">
      <c r="E236">
        <v>232</v>
      </c>
      <c r="F236" t="s">
        <v>33</v>
      </c>
      <c r="G236" t="s">
        <v>38</v>
      </c>
      <c r="H236" t="s">
        <v>11</v>
      </c>
      <c r="I236">
        <v>6111</v>
      </c>
      <c r="J236">
        <v>3</v>
      </c>
      <c r="K236" s="4">
        <v>45158</v>
      </c>
    </row>
    <row r="237" spans="5:11" x14ac:dyDescent="0.3">
      <c r="E237">
        <v>233</v>
      </c>
      <c r="F237" t="s">
        <v>29</v>
      </c>
      <c r="G237" t="s">
        <v>39</v>
      </c>
      <c r="H237" t="s">
        <v>24</v>
      </c>
      <c r="I237">
        <v>3507</v>
      </c>
      <c r="J237">
        <v>288</v>
      </c>
      <c r="K237" s="4">
        <v>45159</v>
      </c>
    </row>
    <row r="238" spans="5:11" x14ac:dyDescent="0.3">
      <c r="E238">
        <v>234</v>
      </c>
      <c r="F238" t="s">
        <v>32</v>
      </c>
      <c r="G238" t="s">
        <v>38</v>
      </c>
      <c r="H238" t="s">
        <v>6</v>
      </c>
      <c r="I238">
        <v>4319</v>
      </c>
      <c r="J238">
        <v>30</v>
      </c>
      <c r="K238" s="4">
        <v>45160</v>
      </c>
    </row>
    <row r="239" spans="5:11" x14ac:dyDescent="0.3">
      <c r="E239">
        <v>235</v>
      </c>
      <c r="F239" t="s">
        <v>36</v>
      </c>
      <c r="G239" t="s">
        <v>37</v>
      </c>
      <c r="H239" t="s">
        <v>19</v>
      </c>
      <c r="I239">
        <v>609</v>
      </c>
      <c r="J239">
        <v>87</v>
      </c>
      <c r="K239" s="4">
        <v>45161</v>
      </c>
    </row>
    <row r="240" spans="5:11" x14ac:dyDescent="0.3">
      <c r="E240">
        <v>236</v>
      </c>
      <c r="F240" t="s">
        <v>36</v>
      </c>
      <c r="G240" t="s">
        <v>44</v>
      </c>
      <c r="H240" t="s">
        <v>20</v>
      </c>
      <c r="I240">
        <v>6370</v>
      </c>
      <c r="J240">
        <v>30</v>
      </c>
      <c r="K240" s="4">
        <v>45162</v>
      </c>
    </row>
    <row r="241" spans="5:11" x14ac:dyDescent="0.3">
      <c r="E241">
        <v>237</v>
      </c>
      <c r="F241" t="s">
        <v>33</v>
      </c>
      <c r="G241" t="s">
        <v>37</v>
      </c>
      <c r="H241" t="s">
        <v>12</v>
      </c>
      <c r="I241">
        <v>5474</v>
      </c>
      <c r="J241">
        <v>168</v>
      </c>
      <c r="K241" s="4">
        <v>45163</v>
      </c>
    </row>
    <row r="242" spans="5:11" x14ac:dyDescent="0.3">
      <c r="E242">
        <v>238</v>
      </c>
      <c r="F242" t="s">
        <v>36</v>
      </c>
      <c r="G242" t="s">
        <v>38</v>
      </c>
      <c r="H242" t="s">
        <v>20</v>
      </c>
      <c r="I242">
        <v>3164</v>
      </c>
      <c r="J242">
        <v>306</v>
      </c>
      <c r="K242" s="4">
        <v>45164</v>
      </c>
    </row>
    <row r="243" spans="5:11" x14ac:dyDescent="0.3">
      <c r="E243">
        <v>239</v>
      </c>
      <c r="F243" t="s">
        <v>32</v>
      </c>
      <c r="G243" t="s">
        <v>45</v>
      </c>
      <c r="H243" t="s">
        <v>2</v>
      </c>
      <c r="I243">
        <v>1302</v>
      </c>
      <c r="J243">
        <v>402</v>
      </c>
      <c r="K243" s="4">
        <v>45165</v>
      </c>
    </row>
    <row r="244" spans="5:11" x14ac:dyDescent="0.3">
      <c r="E244">
        <v>240</v>
      </c>
      <c r="F244" t="s">
        <v>34</v>
      </c>
      <c r="G244" t="s">
        <v>40</v>
      </c>
      <c r="H244" t="s">
        <v>21</v>
      </c>
      <c r="I244">
        <v>7308</v>
      </c>
      <c r="J244">
        <v>327</v>
      </c>
      <c r="K244" s="4">
        <v>45166</v>
      </c>
    </row>
    <row r="245" spans="5:11" x14ac:dyDescent="0.3">
      <c r="E245">
        <v>241</v>
      </c>
      <c r="F245" t="s">
        <v>36</v>
      </c>
      <c r="G245" t="s">
        <v>40</v>
      </c>
      <c r="H245" t="s">
        <v>20</v>
      </c>
      <c r="I245">
        <v>6132</v>
      </c>
      <c r="J245">
        <v>93</v>
      </c>
      <c r="K245" s="4">
        <v>45167</v>
      </c>
    </row>
    <row r="246" spans="5:11" x14ac:dyDescent="0.3">
      <c r="E246">
        <v>242</v>
      </c>
      <c r="F246" t="s">
        <v>35</v>
      </c>
      <c r="G246" t="s">
        <v>45</v>
      </c>
      <c r="H246" t="s">
        <v>7</v>
      </c>
      <c r="I246">
        <v>3472</v>
      </c>
      <c r="J246">
        <v>96</v>
      </c>
      <c r="K246" s="4">
        <v>45168</v>
      </c>
    </row>
    <row r="247" spans="5:11" x14ac:dyDescent="0.3">
      <c r="E247">
        <v>243</v>
      </c>
      <c r="F247" t="s">
        <v>29</v>
      </c>
      <c r="G247" t="s">
        <v>44</v>
      </c>
      <c r="H247" t="s">
        <v>11</v>
      </c>
      <c r="I247">
        <v>9660</v>
      </c>
      <c r="J247">
        <v>27</v>
      </c>
      <c r="K247" s="4">
        <v>45169</v>
      </c>
    </row>
    <row r="248" spans="5:11" x14ac:dyDescent="0.3">
      <c r="E248">
        <v>244</v>
      </c>
      <c r="F248" t="s">
        <v>3</v>
      </c>
      <c r="G248" t="s">
        <v>37</v>
      </c>
      <c r="H248" t="s">
        <v>19</v>
      </c>
      <c r="I248">
        <v>2436</v>
      </c>
      <c r="J248">
        <v>99</v>
      </c>
      <c r="K248" s="4">
        <v>45170</v>
      </c>
    </row>
    <row r="249" spans="5:11" x14ac:dyDescent="0.3">
      <c r="E249">
        <v>245</v>
      </c>
      <c r="F249" t="s">
        <v>3</v>
      </c>
      <c r="G249" t="s">
        <v>37</v>
      </c>
      <c r="H249" t="s">
        <v>26</v>
      </c>
      <c r="I249">
        <v>9506</v>
      </c>
      <c r="J249">
        <v>87</v>
      </c>
      <c r="K249" s="4">
        <v>45171</v>
      </c>
    </row>
    <row r="250" spans="5:11" x14ac:dyDescent="0.3">
      <c r="E250">
        <v>246</v>
      </c>
      <c r="F250" t="s">
        <v>35</v>
      </c>
      <c r="G250" t="s">
        <v>40</v>
      </c>
      <c r="H250" t="s">
        <v>14</v>
      </c>
      <c r="I250">
        <v>245</v>
      </c>
      <c r="J250">
        <v>288</v>
      </c>
      <c r="K250" s="4">
        <v>45172</v>
      </c>
    </row>
    <row r="251" spans="5:11" x14ac:dyDescent="0.3">
      <c r="E251">
        <v>247</v>
      </c>
      <c r="F251" t="s">
        <v>29</v>
      </c>
      <c r="G251" t="s">
        <v>45</v>
      </c>
      <c r="H251" t="s">
        <v>13</v>
      </c>
      <c r="I251">
        <v>2702</v>
      </c>
      <c r="J251">
        <v>363</v>
      </c>
      <c r="K251" s="4">
        <v>45173</v>
      </c>
    </row>
    <row r="252" spans="5:11" x14ac:dyDescent="0.3">
      <c r="E252">
        <v>248</v>
      </c>
      <c r="F252" t="s">
        <v>35</v>
      </c>
      <c r="G252" t="s">
        <v>39</v>
      </c>
      <c r="H252" t="s">
        <v>10</v>
      </c>
      <c r="I252">
        <v>700</v>
      </c>
      <c r="J252">
        <v>87</v>
      </c>
      <c r="K252" s="4">
        <v>45174</v>
      </c>
    </row>
    <row r="253" spans="5:11" x14ac:dyDescent="0.3">
      <c r="E253">
        <v>249</v>
      </c>
      <c r="F253" t="s">
        <v>32</v>
      </c>
      <c r="G253" t="s">
        <v>39</v>
      </c>
      <c r="H253" t="s">
        <v>10</v>
      </c>
      <c r="I253">
        <v>3759</v>
      </c>
      <c r="J253">
        <v>150</v>
      </c>
      <c r="K253" s="4">
        <v>45175</v>
      </c>
    </row>
    <row r="254" spans="5:11" x14ac:dyDescent="0.3">
      <c r="E254">
        <v>250</v>
      </c>
      <c r="F254" t="s">
        <v>28</v>
      </c>
      <c r="G254" t="s">
        <v>45</v>
      </c>
      <c r="H254" t="s">
        <v>10</v>
      </c>
      <c r="I254">
        <v>1589</v>
      </c>
      <c r="J254">
        <v>303</v>
      </c>
      <c r="K254" s="4">
        <v>45176</v>
      </c>
    </row>
    <row r="255" spans="5:11" x14ac:dyDescent="0.3">
      <c r="E255">
        <v>251</v>
      </c>
      <c r="F255" t="s">
        <v>31</v>
      </c>
      <c r="G255" t="s">
        <v>45</v>
      </c>
      <c r="H255" t="s">
        <v>21</v>
      </c>
      <c r="I255">
        <v>5194</v>
      </c>
      <c r="J255">
        <v>288</v>
      </c>
      <c r="K255" s="4">
        <v>45177</v>
      </c>
    </row>
    <row r="256" spans="5:11" x14ac:dyDescent="0.3">
      <c r="E256">
        <v>252</v>
      </c>
      <c r="F256" t="s">
        <v>35</v>
      </c>
      <c r="G256" t="s">
        <v>38</v>
      </c>
      <c r="H256" t="s">
        <v>6</v>
      </c>
      <c r="I256">
        <v>945</v>
      </c>
      <c r="J256">
        <v>75</v>
      </c>
      <c r="K256" s="4">
        <v>45178</v>
      </c>
    </row>
    <row r="257" spans="5:11" x14ac:dyDescent="0.3">
      <c r="E257">
        <v>253</v>
      </c>
      <c r="F257" t="s">
        <v>36</v>
      </c>
      <c r="G257" t="s">
        <v>37</v>
      </c>
      <c r="H257" t="s">
        <v>24</v>
      </c>
      <c r="I257">
        <v>1988</v>
      </c>
      <c r="J257">
        <v>39</v>
      </c>
      <c r="K257" s="4">
        <v>45179</v>
      </c>
    </row>
    <row r="258" spans="5:11" x14ac:dyDescent="0.3">
      <c r="E258">
        <v>254</v>
      </c>
      <c r="F258" t="s">
        <v>32</v>
      </c>
      <c r="G258" t="s">
        <v>39</v>
      </c>
      <c r="H258" t="s">
        <v>25</v>
      </c>
      <c r="I258">
        <v>6734</v>
      </c>
      <c r="J258">
        <v>123</v>
      </c>
      <c r="K258" s="4">
        <v>45180</v>
      </c>
    </row>
    <row r="259" spans="5:11" x14ac:dyDescent="0.3">
      <c r="E259">
        <v>255</v>
      </c>
      <c r="F259" t="s">
        <v>36</v>
      </c>
      <c r="G259" t="s">
        <v>38</v>
      </c>
      <c r="H259" t="s">
        <v>2</v>
      </c>
      <c r="I259">
        <v>217</v>
      </c>
      <c r="J259">
        <v>36</v>
      </c>
      <c r="K259" s="4">
        <v>45181</v>
      </c>
    </row>
    <row r="260" spans="5:11" x14ac:dyDescent="0.3">
      <c r="E260">
        <v>256</v>
      </c>
      <c r="F260" t="s">
        <v>33</v>
      </c>
      <c r="G260" t="s">
        <v>39</v>
      </c>
      <c r="H260" t="s">
        <v>15</v>
      </c>
      <c r="I260">
        <v>6279</v>
      </c>
      <c r="J260">
        <v>237</v>
      </c>
      <c r="K260" s="4">
        <v>45182</v>
      </c>
    </row>
    <row r="261" spans="5:11" x14ac:dyDescent="0.3">
      <c r="E261">
        <v>257</v>
      </c>
      <c r="F261" t="s">
        <v>36</v>
      </c>
      <c r="G261" t="s">
        <v>38</v>
      </c>
      <c r="H261" t="s">
        <v>6</v>
      </c>
      <c r="I261">
        <v>4424</v>
      </c>
      <c r="J261">
        <v>201</v>
      </c>
      <c r="K261" s="4">
        <v>45183</v>
      </c>
    </row>
    <row r="262" spans="5:11" x14ac:dyDescent="0.3">
      <c r="E262">
        <v>258</v>
      </c>
      <c r="F262" t="s">
        <v>28</v>
      </c>
      <c r="G262" t="s">
        <v>38</v>
      </c>
      <c r="H262" t="s">
        <v>10</v>
      </c>
      <c r="I262">
        <v>189</v>
      </c>
      <c r="J262">
        <v>48</v>
      </c>
      <c r="K262" s="4">
        <v>45184</v>
      </c>
    </row>
    <row r="263" spans="5:11" x14ac:dyDescent="0.3">
      <c r="E263">
        <v>259</v>
      </c>
      <c r="F263" t="s">
        <v>33</v>
      </c>
      <c r="G263" t="s">
        <v>45</v>
      </c>
      <c r="H263" t="s">
        <v>15</v>
      </c>
      <c r="I263">
        <v>490</v>
      </c>
      <c r="J263">
        <v>84</v>
      </c>
      <c r="K263" s="4">
        <v>45185</v>
      </c>
    </row>
    <row r="264" spans="5:11" x14ac:dyDescent="0.3">
      <c r="E264">
        <v>260</v>
      </c>
      <c r="F264" t="s">
        <v>29</v>
      </c>
      <c r="G264" t="s">
        <v>40</v>
      </c>
      <c r="H264" t="s">
        <v>14</v>
      </c>
      <c r="I264">
        <v>434</v>
      </c>
      <c r="J264">
        <v>87</v>
      </c>
      <c r="K264" s="4">
        <v>45186</v>
      </c>
    </row>
    <row r="265" spans="5:11" x14ac:dyDescent="0.3">
      <c r="E265">
        <v>261</v>
      </c>
      <c r="F265" t="s">
        <v>31</v>
      </c>
      <c r="G265" t="s">
        <v>37</v>
      </c>
      <c r="H265" t="s">
        <v>23</v>
      </c>
      <c r="I265">
        <v>10129</v>
      </c>
      <c r="J265">
        <v>312</v>
      </c>
      <c r="K265" s="4">
        <v>45187</v>
      </c>
    </row>
    <row r="266" spans="5:11" x14ac:dyDescent="0.3">
      <c r="E266">
        <v>262</v>
      </c>
      <c r="F266" t="s">
        <v>34</v>
      </c>
      <c r="G266" t="s">
        <v>44</v>
      </c>
      <c r="H266" t="s">
        <v>21</v>
      </c>
      <c r="I266">
        <v>1652</v>
      </c>
      <c r="J266">
        <v>102</v>
      </c>
      <c r="K266" s="4">
        <v>45188</v>
      </c>
    </row>
    <row r="267" spans="5:11" x14ac:dyDescent="0.3">
      <c r="E267">
        <v>263</v>
      </c>
      <c r="F267" t="s">
        <v>29</v>
      </c>
      <c r="G267" t="s">
        <v>37</v>
      </c>
      <c r="H267" t="s">
        <v>14</v>
      </c>
      <c r="I267">
        <v>6433</v>
      </c>
      <c r="J267">
        <v>78</v>
      </c>
      <c r="K267" s="4">
        <v>45189</v>
      </c>
    </row>
    <row r="268" spans="5:11" x14ac:dyDescent="0.3">
      <c r="E268">
        <v>264</v>
      </c>
      <c r="F268" t="s">
        <v>34</v>
      </c>
      <c r="G268" t="s">
        <v>39</v>
      </c>
      <c r="H268" t="s">
        <v>16</v>
      </c>
      <c r="I268">
        <v>2212</v>
      </c>
      <c r="J268">
        <v>117</v>
      </c>
      <c r="K268" s="4">
        <v>45190</v>
      </c>
    </row>
    <row r="269" spans="5:11" x14ac:dyDescent="0.3">
      <c r="E269">
        <v>265</v>
      </c>
      <c r="F269" t="s">
        <v>30</v>
      </c>
      <c r="G269" t="s">
        <v>45</v>
      </c>
      <c r="H269" t="s">
        <v>12</v>
      </c>
      <c r="I269">
        <v>609</v>
      </c>
      <c r="J269">
        <v>99</v>
      </c>
      <c r="K269" s="4">
        <v>45191</v>
      </c>
    </row>
    <row r="270" spans="5:11" x14ac:dyDescent="0.3">
      <c r="E270">
        <v>266</v>
      </c>
      <c r="F270" t="s">
        <v>36</v>
      </c>
      <c r="G270" t="s">
        <v>45</v>
      </c>
      <c r="H270" t="s">
        <v>17</v>
      </c>
      <c r="I270">
        <v>1638</v>
      </c>
      <c r="J270">
        <v>48</v>
      </c>
      <c r="K270" s="4">
        <v>45192</v>
      </c>
    </row>
    <row r="271" spans="5:11" x14ac:dyDescent="0.3">
      <c r="E271">
        <v>267</v>
      </c>
      <c r="F271" t="s">
        <v>31</v>
      </c>
      <c r="G271" t="s">
        <v>39</v>
      </c>
      <c r="H271" t="s">
        <v>8</v>
      </c>
      <c r="I271">
        <v>3829</v>
      </c>
      <c r="J271">
        <v>24</v>
      </c>
      <c r="K271" s="4">
        <v>45193</v>
      </c>
    </row>
    <row r="272" spans="5:11" x14ac:dyDescent="0.3">
      <c r="E272">
        <v>268</v>
      </c>
      <c r="F272" t="s">
        <v>36</v>
      </c>
      <c r="G272" t="s">
        <v>44</v>
      </c>
      <c r="H272" t="s">
        <v>8</v>
      </c>
      <c r="I272">
        <v>5775</v>
      </c>
      <c r="J272">
        <v>42</v>
      </c>
      <c r="K272" s="4">
        <v>45194</v>
      </c>
    </row>
    <row r="273" spans="5:11" x14ac:dyDescent="0.3">
      <c r="E273">
        <v>269</v>
      </c>
      <c r="F273" t="s">
        <v>32</v>
      </c>
      <c r="G273" t="s">
        <v>45</v>
      </c>
      <c r="H273" t="s">
        <v>13</v>
      </c>
      <c r="I273">
        <v>1071</v>
      </c>
      <c r="J273">
        <v>270</v>
      </c>
      <c r="K273" s="4">
        <v>45195</v>
      </c>
    </row>
    <row r="274" spans="5:11" x14ac:dyDescent="0.3">
      <c r="E274">
        <v>270</v>
      </c>
      <c r="F274" t="s">
        <v>29</v>
      </c>
      <c r="G274" t="s">
        <v>38</v>
      </c>
      <c r="H274" t="s">
        <v>16</v>
      </c>
      <c r="I274">
        <v>5019</v>
      </c>
      <c r="J274">
        <v>150</v>
      </c>
      <c r="K274" s="4">
        <v>45196</v>
      </c>
    </row>
    <row r="275" spans="5:11" x14ac:dyDescent="0.3">
      <c r="E275">
        <v>271</v>
      </c>
      <c r="F275" t="s">
        <v>28</v>
      </c>
      <c r="G275" t="s">
        <v>40</v>
      </c>
      <c r="H275" t="s">
        <v>8</v>
      </c>
      <c r="I275">
        <v>2863</v>
      </c>
      <c r="J275">
        <v>42</v>
      </c>
      <c r="K275" s="4">
        <v>45197</v>
      </c>
    </row>
    <row r="276" spans="5:11" x14ac:dyDescent="0.3">
      <c r="E276">
        <v>272</v>
      </c>
      <c r="F276" t="s">
        <v>36</v>
      </c>
      <c r="G276" t="s">
        <v>45</v>
      </c>
      <c r="H276" t="s">
        <v>22</v>
      </c>
      <c r="I276">
        <v>1617</v>
      </c>
      <c r="J276">
        <v>126</v>
      </c>
      <c r="K276" s="4">
        <v>45198</v>
      </c>
    </row>
    <row r="277" spans="5:11" x14ac:dyDescent="0.3">
      <c r="E277">
        <v>273</v>
      </c>
      <c r="F277" t="s">
        <v>32</v>
      </c>
      <c r="G277" t="s">
        <v>40</v>
      </c>
      <c r="H277" t="s">
        <v>19</v>
      </c>
      <c r="I277">
        <v>6818</v>
      </c>
      <c r="J277">
        <v>6</v>
      </c>
      <c r="K277" s="4">
        <v>45199</v>
      </c>
    </row>
    <row r="278" spans="5:11" x14ac:dyDescent="0.3">
      <c r="E278">
        <v>274</v>
      </c>
      <c r="F278" t="s">
        <v>34</v>
      </c>
      <c r="G278" t="s">
        <v>45</v>
      </c>
      <c r="H278" t="s">
        <v>8</v>
      </c>
      <c r="I278">
        <v>6657</v>
      </c>
      <c r="J278">
        <v>276</v>
      </c>
      <c r="K278" s="4">
        <v>45200</v>
      </c>
    </row>
    <row r="279" spans="5:11" x14ac:dyDescent="0.3">
      <c r="E279">
        <v>275</v>
      </c>
      <c r="F279" t="s">
        <v>34</v>
      </c>
      <c r="G279" t="s">
        <v>39</v>
      </c>
      <c r="H279" t="s">
        <v>10</v>
      </c>
      <c r="I279">
        <v>2919</v>
      </c>
      <c r="J279">
        <v>93</v>
      </c>
      <c r="K279" s="4">
        <v>45201</v>
      </c>
    </row>
    <row r="280" spans="5:11" x14ac:dyDescent="0.3">
      <c r="E280">
        <v>276</v>
      </c>
      <c r="F280" t="s">
        <v>28</v>
      </c>
      <c r="G280" t="s">
        <v>38</v>
      </c>
      <c r="H280" t="s">
        <v>24</v>
      </c>
      <c r="I280">
        <v>3094</v>
      </c>
      <c r="J280">
        <v>246</v>
      </c>
      <c r="K280" s="4">
        <v>45202</v>
      </c>
    </row>
    <row r="281" spans="5:11" x14ac:dyDescent="0.3">
      <c r="E281">
        <v>277</v>
      </c>
      <c r="F281" t="s">
        <v>32</v>
      </c>
      <c r="G281" t="s">
        <v>44</v>
      </c>
      <c r="H281" t="s">
        <v>17</v>
      </c>
      <c r="I281">
        <v>2989</v>
      </c>
      <c r="J281">
        <v>3</v>
      </c>
      <c r="K281" s="4">
        <v>45203</v>
      </c>
    </row>
    <row r="282" spans="5:11" x14ac:dyDescent="0.3">
      <c r="E282">
        <v>278</v>
      </c>
      <c r="F282" t="s">
        <v>29</v>
      </c>
      <c r="G282" t="s">
        <v>37</v>
      </c>
      <c r="H282" t="s">
        <v>20</v>
      </c>
      <c r="I282">
        <v>2268</v>
      </c>
      <c r="J282">
        <v>63</v>
      </c>
      <c r="K282" s="4">
        <v>45204</v>
      </c>
    </row>
    <row r="283" spans="5:11" x14ac:dyDescent="0.3">
      <c r="E283">
        <v>279</v>
      </c>
      <c r="F283" t="s">
        <v>33</v>
      </c>
      <c r="G283" t="s">
        <v>45</v>
      </c>
      <c r="H283" t="s">
        <v>24</v>
      </c>
      <c r="I283">
        <v>4753</v>
      </c>
      <c r="J283">
        <v>246</v>
      </c>
      <c r="K283" s="4">
        <v>45205</v>
      </c>
    </row>
    <row r="284" spans="5:11" x14ac:dyDescent="0.3">
      <c r="E284">
        <v>280</v>
      </c>
      <c r="F284" t="s">
        <v>28</v>
      </c>
      <c r="G284" t="s">
        <v>39</v>
      </c>
      <c r="H284" t="s">
        <v>12</v>
      </c>
      <c r="I284">
        <v>7511</v>
      </c>
      <c r="J284">
        <v>120</v>
      </c>
      <c r="K284" s="4">
        <v>45206</v>
      </c>
    </row>
    <row r="285" spans="5:11" x14ac:dyDescent="0.3">
      <c r="E285">
        <v>281</v>
      </c>
      <c r="F285" t="s">
        <v>28</v>
      </c>
      <c r="G285" t="s">
        <v>37</v>
      </c>
      <c r="H285" t="s">
        <v>24</v>
      </c>
      <c r="I285">
        <v>4326</v>
      </c>
      <c r="J285">
        <v>348</v>
      </c>
      <c r="K285" s="4">
        <v>45207</v>
      </c>
    </row>
    <row r="286" spans="5:11" x14ac:dyDescent="0.3">
      <c r="E286">
        <v>282</v>
      </c>
      <c r="F286" t="s">
        <v>30</v>
      </c>
      <c r="G286" t="s">
        <v>39</v>
      </c>
      <c r="H286" t="s">
        <v>16</v>
      </c>
      <c r="I286">
        <v>4935</v>
      </c>
      <c r="J286">
        <v>126</v>
      </c>
      <c r="K286" s="4">
        <v>45208</v>
      </c>
    </row>
    <row r="287" spans="5:11" x14ac:dyDescent="0.3">
      <c r="E287">
        <v>283</v>
      </c>
      <c r="F287" t="s">
        <v>32</v>
      </c>
      <c r="G287" t="s">
        <v>45</v>
      </c>
      <c r="H287" t="s">
        <v>23</v>
      </c>
      <c r="I287">
        <v>4781</v>
      </c>
      <c r="J287">
        <v>123</v>
      </c>
      <c r="K287" s="4">
        <v>45209</v>
      </c>
    </row>
    <row r="288" spans="5:11" x14ac:dyDescent="0.3">
      <c r="E288">
        <v>284</v>
      </c>
      <c r="F288" t="s">
        <v>33</v>
      </c>
      <c r="G288" t="s">
        <v>37</v>
      </c>
      <c r="H288" t="s">
        <v>18</v>
      </c>
      <c r="I288">
        <v>7483</v>
      </c>
      <c r="J288">
        <v>45</v>
      </c>
      <c r="K288" s="4">
        <v>45210</v>
      </c>
    </row>
    <row r="289" spans="5:11" x14ac:dyDescent="0.3">
      <c r="E289">
        <v>285</v>
      </c>
      <c r="F289" t="s">
        <v>35</v>
      </c>
      <c r="G289" t="s">
        <v>37</v>
      </c>
      <c r="H289" t="s">
        <v>2</v>
      </c>
      <c r="I289">
        <v>6860</v>
      </c>
      <c r="J289">
        <v>126</v>
      </c>
      <c r="K289" s="4">
        <v>45211</v>
      </c>
    </row>
    <row r="290" spans="5:11" x14ac:dyDescent="0.3">
      <c r="E290">
        <v>286</v>
      </c>
      <c r="F290" t="s">
        <v>36</v>
      </c>
      <c r="G290" t="s">
        <v>40</v>
      </c>
      <c r="H290" t="s">
        <v>22</v>
      </c>
      <c r="I290">
        <v>9002</v>
      </c>
      <c r="J290">
        <v>72</v>
      </c>
      <c r="K290" s="4">
        <v>45212</v>
      </c>
    </row>
    <row r="291" spans="5:11" x14ac:dyDescent="0.3">
      <c r="E291">
        <v>287</v>
      </c>
      <c r="F291" t="s">
        <v>32</v>
      </c>
      <c r="G291" t="s">
        <v>38</v>
      </c>
      <c r="H291" t="s">
        <v>22</v>
      </c>
      <c r="I291">
        <v>1400</v>
      </c>
      <c r="J291">
        <v>135</v>
      </c>
      <c r="K291" s="4">
        <v>45213</v>
      </c>
    </row>
    <row r="292" spans="5:11" x14ac:dyDescent="0.3">
      <c r="E292">
        <v>288</v>
      </c>
      <c r="F292" t="s">
        <v>35</v>
      </c>
      <c r="G292" t="s">
        <v>39</v>
      </c>
      <c r="H292" t="s">
        <v>15</v>
      </c>
      <c r="I292">
        <v>4053</v>
      </c>
      <c r="J292">
        <v>24</v>
      </c>
      <c r="K292" s="4">
        <v>45214</v>
      </c>
    </row>
    <row r="293" spans="5:11" x14ac:dyDescent="0.3">
      <c r="E293">
        <v>289</v>
      </c>
      <c r="F293" t="s">
        <v>31</v>
      </c>
      <c r="G293" t="s">
        <v>38</v>
      </c>
      <c r="H293" t="s">
        <v>24</v>
      </c>
      <c r="I293">
        <v>2149</v>
      </c>
      <c r="J293">
        <v>117</v>
      </c>
      <c r="K293" s="4">
        <v>45215</v>
      </c>
    </row>
    <row r="294" spans="5:11" x14ac:dyDescent="0.3">
      <c r="E294">
        <v>290</v>
      </c>
      <c r="F294" t="s">
        <v>34</v>
      </c>
      <c r="G294" t="s">
        <v>44</v>
      </c>
      <c r="H294" t="s">
        <v>22</v>
      </c>
      <c r="I294">
        <v>3640</v>
      </c>
      <c r="J294">
        <v>51</v>
      </c>
      <c r="K294" s="4">
        <v>45216</v>
      </c>
    </row>
    <row r="295" spans="5:11" x14ac:dyDescent="0.3">
      <c r="E295">
        <v>291</v>
      </c>
      <c r="F295" t="s">
        <v>28</v>
      </c>
      <c r="G295" t="s">
        <v>44</v>
      </c>
      <c r="H295" t="s">
        <v>16</v>
      </c>
      <c r="I295">
        <v>630</v>
      </c>
      <c r="J295">
        <v>36</v>
      </c>
      <c r="K295" s="4">
        <v>45217</v>
      </c>
    </row>
    <row r="296" spans="5:11" x14ac:dyDescent="0.3">
      <c r="E296">
        <v>292</v>
      </c>
      <c r="F296" t="s">
        <v>3</v>
      </c>
      <c r="G296" t="s">
        <v>45</v>
      </c>
      <c r="H296" t="s">
        <v>20</v>
      </c>
      <c r="I296">
        <v>2429</v>
      </c>
      <c r="J296">
        <v>144</v>
      </c>
      <c r="K296" s="4">
        <v>45218</v>
      </c>
    </row>
    <row r="297" spans="5:11" x14ac:dyDescent="0.3">
      <c r="E297">
        <v>293</v>
      </c>
      <c r="F297" t="s">
        <v>3</v>
      </c>
      <c r="G297" t="s">
        <v>38</v>
      </c>
      <c r="H297" t="s">
        <v>18</v>
      </c>
      <c r="I297">
        <v>2142</v>
      </c>
      <c r="J297">
        <v>114</v>
      </c>
      <c r="K297" s="4">
        <v>45219</v>
      </c>
    </row>
    <row r="298" spans="5:11" x14ac:dyDescent="0.3">
      <c r="E298">
        <v>294</v>
      </c>
      <c r="F298" t="s">
        <v>31</v>
      </c>
      <c r="G298" t="s">
        <v>40</v>
      </c>
      <c r="H298" t="s">
        <v>23</v>
      </c>
      <c r="I298">
        <v>6454</v>
      </c>
      <c r="J298">
        <v>54</v>
      </c>
      <c r="K298" s="4">
        <v>45220</v>
      </c>
    </row>
    <row r="299" spans="5:11" x14ac:dyDescent="0.3">
      <c r="E299">
        <v>295</v>
      </c>
      <c r="F299" t="s">
        <v>31</v>
      </c>
      <c r="G299" t="s">
        <v>40</v>
      </c>
      <c r="H299" t="s">
        <v>9</v>
      </c>
      <c r="I299">
        <v>4487</v>
      </c>
      <c r="J299">
        <v>333</v>
      </c>
      <c r="K299" s="4">
        <v>45221</v>
      </c>
    </row>
    <row r="300" spans="5:11" x14ac:dyDescent="0.3">
      <c r="E300">
        <v>296</v>
      </c>
      <c r="F300" t="s">
        <v>34</v>
      </c>
      <c r="G300" t="s">
        <v>40</v>
      </c>
      <c r="H300" t="s">
        <v>2</v>
      </c>
      <c r="I300">
        <v>938</v>
      </c>
      <c r="J300">
        <v>366</v>
      </c>
      <c r="K300" s="4">
        <v>45222</v>
      </c>
    </row>
    <row r="301" spans="5:11" x14ac:dyDescent="0.3">
      <c r="E301">
        <v>297</v>
      </c>
      <c r="F301" t="s">
        <v>34</v>
      </c>
      <c r="G301" t="s">
        <v>37</v>
      </c>
      <c r="H301" t="s">
        <v>19</v>
      </c>
      <c r="I301">
        <v>8841</v>
      </c>
      <c r="J301">
        <v>303</v>
      </c>
      <c r="K301" s="4">
        <v>45223</v>
      </c>
    </row>
    <row r="302" spans="5:11" x14ac:dyDescent="0.3">
      <c r="E302">
        <v>298</v>
      </c>
      <c r="F302" t="s">
        <v>28</v>
      </c>
      <c r="G302" t="s">
        <v>44</v>
      </c>
      <c r="H302" t="s">
        <v>26</v>
      </c>
      <c r="I302">
        <v>4018</v>
      </c>
      <c r="J302">
        <v>126</v>
      </c>
      <c r="K302" s="4">
        <v>45224</v>
      </c>
    </row>
    <row r="303" spans="5:11" x14ac:dyDescent="0.3">
      <c r="E303">
        <v>299</v>
      </c>
      <c r="F303" t="s">
        <v>30</v>
      </c>
      <c r="G303" t="s">
        <v>40</v>
      </c>
      <c r="H303" t="s">
        <v>8</v>
      </c>
      <c r="I303">
        <v>714</v>
      </c>
      <c r="J303">
        <v>231</v>
      </c>
      <c r="K303" s="4">
        <v>45225</v>
      </c>
    </row>
    <row r="304" spans="5:11" x14ac:dyDescent="0.3">
      <c r="E304">
        <v>300</v>
      </c>
      <c r="F304" t="s">
        <v>3</v>
      </c>
      <c r="G304" t="s">
        <v>37</v>
      </c>
      <c r="H304" t="s">
        <v>18</v>
      </c>
      <c r="I304">
        <v>3850</v>
      </c>
      <c r="J304">
        <v>102</v>
      </c>
      <c r="K304" s="4">
        <v>45226</v>
      </c>
    </row>
    <row r="305" spans="5:11" x14ac:dyDescent="0.3">
      <c r="E305">
        <v>301</v>
      </c>
      <c r="F305" t="s">
        <v>28</v>
      </c>
      <c r="G305" t="s">
        <v>37</v>
      </c>
      <c r="H305" t="s">
        <v>24</v>
      </c>
      <c r="I305">
        <v>4326</v>
      </c>
      <c r="J305">
        <v>348</v>
      </c>
      <c r="K305" s="4">
        <v>45227</v>
      </c>
    </row>
    <row r="306" spans="5:11" x14ac:dyDescent="0.3">
      <c r="E306">
        <v>302</v>
      </c>
      <c r="F306" t="s">
        <v>30</v>
      </c>
      <c r="G306" t="s">
        <v>39</v>
      </c>
      <c r="H306" t="s">
        <v>16</v>
      </c>
      <c r="I306">
        <v>4935</v>
      </c>
      <c r="J306">
        <v>126</v>
      </c>
      <c r="K306" s="4">
        <v>45228</v>
      </c>
    </row>
    <row r="307" spans="5:11" x14ac:dyDescent="0.3">
      <c r="E307">
        <v>303</v>
      </c>
      <c r="F307" t="s">
        <v>32</v>
      </c>
      <c r="G307" t="s">
        <v>45</v>
      </c>
      <c r="H307" t="s">
        <v>23</v>
      </c>
      <c r="I307">
        <v>4781</v>
      </c>
      <c r="J307">
        <v>123</v>
      </c>
      <c r="K307" s="4">
        <v>45229</v>
      </c>
    </row>
    <row r="308" spans="5:11" x14ac:dyDescent="0.3">
      <c r="E308">
        <v>304</v>
      </c>
      <c r="F308" t="s">
        <v>33</v>
      </c>
      <c r="G308" t="s">
        <v>37</v>
      </c>
      <c r="H308" t="s">
        <v>18</v>
      </c>
      <c r="I308">
        <v>7483</v>
      </c>
      <c r="J308">
        <v>45</v>
      </c>
      <c r="K308" s="4">
        <v>45230</v>
      </c>
    </row>
    <row r="309" spans="5:11" x14ac:dyDescent="0.3">
      <c r="E309">
        <v>305</v>
      </c>
      <c r="F309" t="s">
        <v>35</v>
      </c>
      <c r="G309" t="s">
        <v>37</v>
      </c>
      <c r="H309" t="s">
        <v>2</v>
      </c>
      <c r="I309">
        <v>6860</v>
      </c>
      <c r="J309">
        <v>126</v>
      </c>
      <c r="K309" s="4">
        <v>45231</v>
      </c>
    </row>
    <row r="310" spans="5:11" x14ac:dyDescent="0.3">
      <c r="E310">
        <v>306</v>
      </c>
      <c r="F310" t="s">
        <v>28</v>
      </c>
      <c r="G310" t="s">
        <v>37</v>
      </c>
      <c r="H310" t="s">
        <v>24</v>
      </c>
      <c r="I310">
        <v>4326</v>
      </c>
      <c r="J310">
        <v>348</v>
      </c>
      <c r="K310" s="4">
        <v>45232</v>
      </c>
    </row>
    <row r="311" spans="5:11" x14ac:dyDescent="0.3">
      <c r="E311">
        <v>307</v>
      </c>
      <c r="F311" t="s">
        <v>30</v>
      </c>
      <c r="G311" t="s">
        <v>39</v>
      </c>
      <c r="H311" t="s">
        <v>16</v>
      </c>
      <c r="I311">
        <v>4935</v>
      </c>
      <c r="J311">
        <v>126</v>
      </c>
      <c r="K311" s="4">
        <v>45233</v>
      </c>
    </row>
    <row r="312" spans="5:11" x14ac:dyDescent="0.3">
      <c r="E312">
        <v>308</v>
      </c>
      <c r="F312" t="s">
        <v>32</v>
      </c>
      <c r="G312" t="s">
        <v>45</v>
      </c>
      <c r="H312" t="s">
        <v>23</v>
      </c>
      <c r="I312">
        <v>4781</v>
      </c>
      <c r="J312">
        <v>123</v>
      </c>
      <c r="K312" s="4">
        <v>45234</v>
      </c>
    </row>
    <row r="313" spans="5:11" x14ac:dyDescent="0.3">
      <c r="E313">
        <v>309</v>
      </c>
      <c r="F313" t="s">
        <v>33</v>
      </c>
      <c r="G313" t="s">
        <v>37</v>
      </c>
      <c r="H313" t="s">
        <v>18</v>
      </c>
      <c r="I313">
        <v>7483</v>
      </c>
      <c r="J313">
        <v>45</v>
      </c>
      <c r="K313" s="4">
        <v>45235</v>
      </c>
    </row>
    <row r="314" spans="5:11" x14ac:dyDescent="0.3">
      <c r="E314">
        <v>310</v>
      </c>
      <c r="F314" t="s">
        <v>35</v>
      </c>
      <c r="G314" t="s">
        <v>37</v>
      </c>
      <c r="H314" t="s">
        <v>2</v>
      </c>
      <c r="I314">
        <v>6860</v>
      </c>
      <c r="J314">
        <v>126</v>
      </c>
      <c r="K314" s="4">
        <v>45236</v>
      </c>
    </row>
    <row r="315" spans="5:11" x14ac:dyDescent="0.3">
      <c r="E315">
        <v>311</v>
      </c>
      <c r="F315" t="s">
        <v>28</v>
      </c>
      <c r="G315" t="s">
        <v>37</v>
      </c>
      <c r="H315" t="s">
        <v>24</v>
      </c>
      <c r="I315">
        <v>4326</v>
      </c>
      <c r="J315">
        <v>348</v>
      </c>
      <c r="K315" s="4">
        <v>45237</v>
      </c>
    </row>
    <row r="316" spans="5:11" x14ac:dyDescent="0.3">
      <c r="E316">
        <v>312</v>
      </c>
      <c r="F316" t="s">
        <v>30</v>
      </c>
      <c r="G316" t="s">
        <v>39</v>
      </c>
      <c r="H316" t="s">
        <v>16</v>
      </c>
      <c r="I316">
        <v>4935</v>
      </c>
      <c r="J316">
        <v>126</v>
      </c>
      <c r="K316" s="4">
        <v>45238</v>
      </c>
    </row>
    <row r="317" spans="5:11" x14ac:dyDescent="0.3">
      <c r="E317">
        <v>313</v>
      </c>
      <c r="F317" t="s">
        <v>32</v>
      </c>
      <c r="G317" t="s">
        <v>45</v>
      </c>
      <c r="H317" t="s">
        <v>23</v>
      </c>
      <c r="I317">
        <v>4781</v>
      </c>
      <c r="J317">
        <v>123</v>
      </c>
      <c r="K317" s="4">
        <v>45239</v>
      </c>
    </row>
    <row r="318" spans="5:11" x14ac:dyDescent="0.3">
      <c r="E318">
        <v>314</v>
      </c>
      <c r="F318" t="s">
        <v>33</v>
      </c>
      <c r="G318" t="s">
        <v>37</v>
      </c>
      <c r="H318" t="s">
        <v>18</v>
      </c>
      <c r="I318">
        <v>7483</v>
      </c>
      <c r="J318">
        <v>45</v>
      </c>
      <c r="K318" s="4">
        <v>45240</v>
      </c>
    </row>
    <row r="319" spans="5:11" x14ac:dyDescent="0.3">
      <c r="E319">
        <v>315</v>
      </c>
      <c r="F319" t="s">
        <v>35</v>
      </c>
      <c r="G319" t="s">
        <v>37</v>
      </c>
      <c r="H319" t="s">
        <v>2</v>
      </c>
      <c r="I319">
        <v>6860</v>
      </c>
      <c r="J319">
        <v>126</v>
      </c>
      <c r="K319" s="4">
        <v>45241</v>
      </c>
    </row>
    <row r="320" spans="5:11" x14ac:dyDescent="0.3">
      <c r="E320">
        <v>1</v>
      </c>
      <c r="F320" t="s">
        <v>36</v>
      </c>
      <c r="G320" t="s">
        <v>40</v>
      </c>
      <c r="H320" t="s">
        <v>23</v>
      </c>
      <c r="I320">
        <v>1624</v>
      </c>
      <c r="J320">
        <v>114</v>
      </c>
      <c r="K320" s="4">
        <v>44927</v>
      </c>
    </row>
    <row r="321" spans="5:11" x14ac:dyDescent="0.3">
      <c r="E321">
        <v>2</v>
      </c>
      <c r="F321" t="s">
        <v>29</v>
      </c>
      <c r="G321" t="s">
        <v>45</v>
      </c>
      <c r="H321" t="s">
        <v>25</v>
      </c>
      <c r="I321">
        <v>6706</v>
      </c>
      <c r="J321">
        <v>459</v>
      </c>
      <c r="K321" s="4">
        <v>44928</v>
      </c>
    </row>
    <row r="322" spans="5:11" x14ac:dyDescent="0.3">
      <c r="E322">
        <v>3</v>
      </c>
      <c r="F322" t="s">
        <v>3</v>
      </c>
      <c r="G322" t="s">
        <v>45</v>
      </c>
      <c r="H322" t="s">
        <v>2</v>
      </c>
      <c r="I322">
        <v>959</v>
      </c>
      <c r="J322">
        <v>147</v>
      </c>
      <c r="K322" s="4">
        <v>44929</v>
      </c>
    </row>
    <row r="323" spans="5:11" x14ac:dyDescent="0.3">
      <c r="E323">
        <v>4</v>
      </c>
      <c r="F323" t="s">
        <v>30</v>
      </c>
      <c r="G323" t="s">
        <v>38</v>
      </c>
      <c r="H323" t="s">
        <v>11</v>
      </c>
      <c r="I323">
        <v>9632</v>
      </c>
      <c r="J323">
        <v>288</v>
      </c>
      <c r="K323" s="4">
        <v>44930</v>
      </c>
    </row>
    <row r="324" spans="5:11" x14ac:dyDescent="0.3">
      <c r="E324">
        <v>5</v>
      </c>
      <c r="F324" t="s">
        <v>32</v>
      </c>
      <c r="G324" t="s">
        <v>43</v>
      </c>
      <c r="H324" t="s">
        <v>18</v>
      </c>
      <c r="I324">
        <v>2100</v>
      </c>
      <c r="J324">
        <v>414</v>
      </c>
      <c r="K324" s="4">
        <v>44931</v>
      </c>
    </row>
    <row r="325" spans="5:11" x14ac:dyDescent="0.3">
      <c r="E325">
        <v>6</v>
      </c>
      <c r="F325" t="s">
        <v>36</v>
      </c>
      <c r="G325" t="s">
        <v>45</v>
      </c>
      <c r="H325" t="s">
        <v>26</v>
      </c>
      <c r="I325">
        <v>8869</v>
      </c>
      <c r="J325">
        <v>432</v>
      </c>
      <c r="K325" s="4">
        <v>44932</v>
      </c>
    </row>
    <row r="326" spans="5:11" x14ac:dyDescent="0.3">
      <c r="E326">
        <v>7</v>
      </c>
      <c r="F326" t="s">
        <v>32</v>
      </c>
      <c r="G326" t="s">
        <v>37</v>
      </c>
      <c r="H326" t="s">
        <v>24</v>
      </c>
      <c r="I326">
        <v>2681</v>
      </c>
      <c r="J326">
        <v>54</v>
      </c>
      <c r="K326" s="4">
        <v>44933</v>
      </c>
    </row>
    <row r="327" spans="5:11" x14ac:dyDescent="0.3">
      <c r="E327">
        <v>1</v>
      </c>
      <c r="F327" t="s">
        <v>36</v>
      </c>
      <c r="G327" t="s">
        <v>40</v>
      </c>
      <c r="H327" t="s">
        <v>23</v>
      </c>
      <c r="I327">
        <v>1624</v>
      </c>
      <c r="J327">
        <v>114</v>
      </c>
      <c r="K327" s="4">
        <v>44927</v>
      </c>
    </row>
    <row r="328" spans="5:11" x14ac:dyDescent="0.3">
      <c r="E328">
        <v>2</v>
      </c>
      <c r="F328" t="s">
        <v>29</v>
      </c>
      <c r="G328" t="s">
        <v>45</v>
      </c>
      <c r="H328" t="s">
        <v>25</v>
      </c>
      <c r="I328">
        <v>6706</v>
      </c>
      <c r="J328">
        <v>459</v>
      </c>
      <c r="K328" s="4">
        <v>44928</v>
      </c>
    </row>
    <row r="329" spans="5:11" x14ac:dyDescent="0.3">
      <c r="E329">
        <v>3</v>
      </c>
      <c r="F329" t="s">
        <v>3</v>
      </c>
      <c r="G329" t="s">
        <v>45</v>
      </c>
      <c r="H329" t="s">
        <v>2</v>
      </c>
      <c r="I329">
        <v>959</v>
      </c>
      <c r="J329">
        <v>147</v>
      </c>
      <c r="K329" s="4">
        <v>44929</v>
      </c>
    </row>
    <row r="330" spans="5:11" x14ac:dyDescent="0.3">
      <c r="E330">
        <v>4</v>
      </c>
      <c r="F330" t="s">
        <v>30</v>
      </c>
      <c r="G330" t="s">
        <v>38</v>
      </c>
      <c r="H330" t="s">
        <v>11</v>
      </c>
      <c r="I330">
        <v>9632</v>
      </c>
      <c r="J330">
        <v>288</v>
      </c>
      <c r="K330" s="4">
        <v>44930</v>
      </c>
    </row>
    <row r="331" spans="5:11" x14ac:dyDescent="0.3">
      <c r="E331">
        <v>5</v>
      </c>
      <c r="F331" t="s">
        <v>32</v>
      </c>
      <c r="G331" t="s">
        <v>43</v>
      </c>
      <c r="H331" t="s">
        <v>18</v>
      </c>
      <c r="I331">
        <v>2100</v>
      </c>
      <c r="J331">
        <v>414</v>
      </c>
      <c r="K331" s="4">
        <v>44931</v>
      </c>
    </row>
    <row r="332" spans="5:11" x14ac:dyDescent="0.3">
      <c r="E332">
        <v>6</v>
      </c>
      <c r="F332" t="s">
        <v>36</v>
      </c>
      <c r="G332" t="s">
        <v>45</v>
      </c>
      <c r="H332" t="s">
        <v>26</v>
      </c>
      <c r="I332">
        <v>8869</v>
      </c>
      <c r="J332">
        <v>432</v>
      </c>
      <c r="K332" s="4">
        <v>44932</v>
      </c>
    </row>
    <row r="333" spans="5:11" x14ac:dyDescent="0.3">
      <c r="E333">
        <v>7</v>
      </c>
      <c r="F333" t="s">
        <v>32</v>
      </c>
      <c r="G333" t="s">
        <v>37</v>
      </c>
      <c r="H333" t="s">
        <v>24</v>
      </c>
      <c r="I333">
        <v>2681</v>
      </c>
      <c r="J333">
        <v>54</v>
      </c>
      <c r="K333" s="4">
        <v>44933</v>
      </c>
    </row>
    <row r="334" spans="5:11" x14ac:dyDescent="0.3">
      <c r="E334">
        <v>1</v>
      </c>
      <c r="F334" t="s">
        <v>36</v>
      </c>
      <c r="G334" t="s">
        <v>40</v>
      </c>
      <c r="H334" t="s">
        <v>23</v>
      </c>
      <c r="I334">
        <v>1624</v>
      </c>
      <c r="J334">
        <v>114</v>
      </c>
      <c r="K334" s="4">
        <v>44927</v>
      </c>
    </row>
    <row r="335" spans="5:11" x14ac:dyDescent="0.3">
      <c r="E335">
        <v>2</v>
      </c>
      <c r="F335" t="s">
        <v>29</v>
      </c>
      <c r="G335" t="s">
        <v>45</v>
      </c>
      <c r="H335" t="s">
        <v>25</v>
      </c>
      <c r="I335">
        <v>6706</v>
      </c>
      <c r="J335">
        <v>459</v>
      </c>
      <c r="K335" s="4">
        <v>44928</v>
      </c>
    </row>
    <row r="336" spans="5:11" x14ac:dyDescent="0.3">
      <c r="E336">
        <v>3</v>
      </c>
      <c r="F336" t="s">
        <v>3</v>
      </c>
      <c r="G336" t="s">
        <v>45</v>
      </c>
      <c r="H336" t="s">
        <v>2</v>
      </c>
      <c r="I336">
        <v>959</v>
      </c>
      <c r="J336">
        <v>147</v>
      </c>
      <c r="K336" s="4">
        <v>44929</v>
      </c>
    </row>
    <row r="337" spans="5:11" x14ac:dyDescent="0.3">
      <c r="E337">
        <v>4</v>
      </c>
      <c r="F337" t="s">
        <v>30</v>
      </c>
      <c r="G337" t="s">
        <v>38</v>
      </c>
      <c r="H337" t="s">
        <v>11</v>
      </c>
      <c r="I337">
        <v>9632</v>
      </c>
      <c r="J337">
        <v>288</v>
      </c>
      <c r="K337" s="4">
        <v>44930</v>
      </c>
    </row>
    <row r="338" spans="5:11" x14ac:dyDescent="0.3">
      <c r="E338">
        <v>5</v>
      </c>
      <c r="F338" t="s">
        <v>32</v>
      </c>
      <c r="G338" t="s">
        <v>43</v>
      </c>
      <c r="H338" t="s">
        <v>18</v>
      </c>
      <c r="I338">
        <v>2100</v>
      </c>
      <c r="J338">
        <v>414</v>
      </c>
      <c r="K338" s="4">
        <v>44931</v>
      </c>
    </row>
    <row r="339" spans="5:11" x14ac:dyDescent="0.3">
      <c r="E339">
        <v>6</v>
      </c>
      <c r="F339" t="s">
        <v>36</v>
      </c>
      <c r="G339" t="s">
        <v>45</v>
      </c>
      <c r="H339" t="s">
        <v>26</v>
      </c>
      <c r="I339">
        <v>8869</v>
      </c>
      <c r="J339">
        <v>432</v>
      </c>
      <c r="K339" s="4">
        <v>44932</v>
      </c>
    </row>
    <row r="340" spans="5:11" x14ac:dyDescent="0.3">
      <c r="E340">
        <v>7</v>
      </c>
      <c r="F340" t="s">
        <v>32</v>
      </c>
      <c r="G340" t="s">
        <v>37</v>
      </c>
      <c r="H340" t="s">
        <v>24</v>
      </c>
      <c r="I340">
        <v>2681</v>
      </c>
      <c r="J340">
        <v>54</v>
      </c>
      <c r="K340" s="4">
        <v>44933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4:Q319"/>
  <sheetViews>
    <sheetView tabSelected="1" topLeftCell="F1" zoomScaleNormal="100" workbookViewId="0">
      <selection activeCell="Q10" sqref="Q10"/>
    </sheetView>
  </sheetViews>
  <sheetFormatPr defaultRowHeight="14.4" x14ac:dyDescent="0.3"/>
  <cols>
    <col min="1" max="1" width="2.44140625" customWidth="1"/>
    <col min="2" max="2" width="4.88671875" customWidth="1"/>
    <col min="3" max="3" width="9.77734375" customWidth="1"/>
    <col min="4" max="4" width="11.5546875" bestFit="1" customWidth="1"/>
    <col min="5" max="5" width="10.44140625" style="10" bestFit="1" customWidth="1"/>
    <col min="6" max="6" width="22.5546875" style="10" bestFit="1" customWidth="1"/>
    <col min="7" max="7" width="12.44140625" style="10" bestFit="1" customWidth="1"/>
    <col min="8" max="8" width="20.6640625" style="10" bestFit="1" customWidth="1"/>
    <col min="9" max="9" width="10.109375" style="10" bestFit="1" customWidth="1"/>
    <col min="10" max="10" width="7.5546875" style="10" bestFit="1" customWidth="1"/>
    <col min="11" max="11" width="12.6640625" style="10" bestFit="1" customWidth="1"/>
    <col min="12" max="12" width="12.6640625" style="10" customWidth="1"/>
    <col min="13" max="13" width="16.6640625" bestFit="1" customWidth="1"/>
    <col min="14" max="14" width="14.109375" bestFit="1" customWidth="1"/>
    <col min="15" max="15" width="14.109375" customWidth="1"/>
    <col min="16" max="16" width="14.33203125" style="10" bestFit="1" customWidth="1"/>
    <col min="17" max="17" width="20.88671875" bestFit="1" customWidth="1"/>
  </cols>
  <sheetData>
    <row r="4" spans="5:17" x14ac:dyDescent="0.3">
      <c r="E4" s="10" t="s">
        <v>47</v>
      </c>
      <c r="F4" s="10" t="s">
        <v>4</v>
      </c>
      <c r="G4" s="10" t="s">
        <v>5</v>
      </c>
      <c r="H4" s="10" t="s">
        <v>0</v>
      </c>
      <c r="I4" s="10" t="s">
        <v>1</v>
      </c>
      <c r="J4" s="10" t="s">
        <v>27</v>
      </c>
      <c r="K4" s="10" t="s">
        <v>46</v>
      </c>
      <c r="L4" s="10" t="s">
        <v>83</v>
      </c>
      <c r="M4" s="10" t="s">
        <v>79</v>
      </c>
      <c r="N4" s="10" t="s">
        <v>80</v>
      </c>
      <c r="O4" s="10" t="s">
        <v>82</v>
      </c>
      <c r="P4" s="10" t="s">
        <v>81</v>
      </c>
      <c r="Q4" s="10" t="s">
        <v>84</v>
      </c>
    </row>
    <row r="5" spans="5:17" x14ac:dyDescent="0.3">
      <c r="E5" s="10">
        <v>1</v>
      </c>
      <c r="F5" s="10" t="s">
        <v>36</v>
      </c>
      <c r="G5" s="10" t="s">
        <v>40</v>
      </c>
      <c r="H5" s="10" t="s">
        <v>23</v>
      </c>
      <c r="I5" s="10">
        <v>1624</v>
      </c>
      <c r="J5" s="10">
        <v>114</v>
      </c>
      <c r="K5" s="11">
        <v>44927</v>
      </c>
      <c r="L5" s="13">
        <f>MONTH(Table1[[#This Row],[Order date ]])</f>
        <v>1</v>
      </c>
      <c r="M5" s="10" t="str">
        <f>TEXT(Table1[[#This Row],[Order date ]],"MMM")</f>
        <v>Jan</v>
      </c>
      <c r="N5" s="10" t="str">
        <f>TEXT(Table1[[#This Row],[Order date ]],"DDD")</f>
        <v>Sun</v>
      </c>
      <c r="O5" s="10" t="str">
        <f>_xlfn.CONCAT("Q",ROUNDUP(Table1[[#This Row],[Month]]/3,0))</f>
        <v>Q1</v>
      </c>
      <c r="P5" s="12">
        <f>Table1[[#This Row],[Amount]]*Table1[[#This Row],[Units]]</f>
        <v>185136</v>
      </c>
      <c r="Q5" s="13" t="str">
        <f>IF(Table1[[#This Row],[Total Sales]]&lt;AVERAGE(Table1[Total Sales]),"Low","High")</f>
        <v>Low</v>
      </c>
    </row>
    <row r="6" spans="5:17" x14ac:dyDescent="0.3">
      <c r="E6" s="10">
        <v>2</v>
      </c>
      <c r="F6" s="10" t="s">
        <v>29</v>
      </c>
      <c r="G6" s="10" t="s">
        <v>45</v>
      </c>
      <c r="H6" s="10" t="s">
        <v>25</v>
      </c>
      <c r="I6" s="10">
        <v>6706</v>
      </c>
      <c r="J6" s="10">
        <v>459</v>
      </c>
      <c r="K6" s="11">
        <v>44928</v>
      </c>
      <c r="L6" s="13">
        <f>MONTH(Table1[[#This Row],[Order date ]])</f>
        <v>1</v>
      </c>
      <c r="M6" s="10" t="str">
        <f>TEXT(Table1[[#This Row],[Order date ]],"MMM")</f>
        <v>Jan</v>
      </c>
      <c r="N6" s="10" t="str">
        <f>TEXT(Table1[[#This Row],[Order date ]],"DDD")</f>
        <v>Mon</v>
      </c>
      <c r="O6" s="10" t="str">
        <f>_xlfn.CONCAT("Q",ROUNDUP(Table1[[#This Row],[Month]]/3,0))</f>
        <v>Q1</v>
      </c>
      <c r="P6" s="12">
        <f>Table1[[#This Row],[Amount]]*Table1[[#This Row],[Units]]</f>
        <v>3078054</v>
      </c>
      <c r="Q6" s="13" t="str">
        <f>IF(Table1[[#This Row],[Total Sales]]&lt;AVERAGE(Table1[Total Sales]),"Low","High")</f>
        <v>High</v>
      </c>
    </row>
    <row r="7" spans="5:17" x14ac:dyDescent="0.3">
      <c r="E7" s="10">
        <v>3</v>
      </c>
      <c r="F7" s="10" t="s">
        <v>3</v>
      </c>
      <c r="G7" s="10" t="s">
        <v>45</v>
      </c>
      <c r="H7" s="10" t="s">
        <v>2</v>
      </c>
      <c r="I7" s="10">
        <v>959</v>
      </c>
      <c r="J7" s="10">
        <v>147</v>
      </c>
      <c r="K7" s="11">
        <v>44929</v>
      </c>
      <c r="L7" s="13">
        <f>MONTH(Table1[[#This Row],[Order date ]])</f>
        <v>1</v>
      </c>
      <c r="M7" s="10" t="str">
        <f>TEXT(Table1[[#This Row],[Order date ]],"MMM")</f>
        <v>Jan</v>
      </c>
      <c r="N7" s="10" t="str">
        <f>TEXT(Table1[[#This Row],[Order date ]],"DDD")</f>
        <v>Tue</v>
      </c>
      <c r="O7" s="10" t="str">
        <f>_xlfn.CONCAT("Q",ROUNDUP(Table1[[#This Row],[Month]]/3,0))</f>
        <v>Q1</v>
      </c>
      <c r="P7" s="12">
        <f>Table1[[#This Row],[Amount]]*Table1[[#This Row],[Units]]</f>
        <v>140973</v>
      </c>
      <c r="Q7" s="13" t="str">
        <f>IF(Table1[[#This Row],[Total Sales]]&lt;AVERAGE(Table1[Total Sales]),"Low","High")</f>
        <v>Low</v>
      </c>
    </row>
    <row r="8" spans="5:17" x14ac:dyDescent="0.3">
      <c r="E8" s="10">
        <v>4</v>
      </c>
      <c r="F8" s="10" t="s">
        <v>30</v>
      </c>
      <c r="G8" s="10" t="s">
        <v>38</v>
      </c>
      <c r="H8" s="10" t="s">
        <v>11</v>
      </c>
      <c r="I8" s="10">
        <v>9632</v>
      </c>
      <c r="J8" s="10">
        <v>288</v>
      </c>
      <c r="K8" s="11">
        <v>44930</v>
      </c>
      <c r="L8" s="13">
        <f>MONTH(Table1[[#This Row],[Order date ]])</f>
        <v>1</v>
      </c>
      <c r="M8" s="10" t="str">
        <f>TEXT(Table1[[#This Row],[Order date ]],"MMM")</f>
        <v>Jan</v>
      </c>
      <c r="N8" s="10" t="str">
        <f>TEXT(Table1[[#This Row],[Order date ]],"DDD")</f>
        <v>Wed</v>
      </c>
      <c r="O8" s="10" t="str">
        <f>_xlfn.CONCAT("Q",ROUNDUP(Table1[[#This Row],[Month]]/3,0))</f>
        <v>Q1</v>
      </c>
      <c r="P8" s="12">
        <f>Table1[[#This Row],[Amount]]*Table1[[#This Row],[Units]]</f>
        <v>2774016</v>
      </c>
      <c r="Q8" s="13" t="str">
        <f>IF(Table1[[#This Row],[Total Sales]]&lt;AVERAGE(Table1[Total Sales]),"Low","High")</f>
        <v>High</v>
      </c>
    </row>
    <row r="9" spans="5:17" x14ac:dyDescent="0.3">
      <c r="E9" s="10">
        <v>5</v>
      </c>
      <c r="F9" s="10" t="s">
        <v>32</v>
      </c>
      <c r="G9" s="10" t="s">
        <v>43</v>
      </c>
      <c r="H9" s="10" t="s">
        <v>18</v>
      </c>
      <c r="I9" s="10">
        <v>2100</v>
      </c>
      <c r="J9" s="10">
        <v>414</v>
      </c>
      <c r="K9" s="11">
        <v>44931</v>
      </c>
      <c r="L9" s="13">
        <f>MONTH(Table1[[#This Row],[Order date ]])</f>
        <v>1</v>
      </c>
      <c r="M9" s="10" t="str">
        <f>TEXT(Table1[[#This Row],[Order date ]],"MMM")</f>
        <v>Jan</v>
      </c>
      <c r="N9" s="10" t="str">
        <f>TEXT(Table1[[#This Row],[Order date ]],"DDD")</f>
        <v>Thu</v>
      </c>
      <c r="O9" s="10" t="str">
        <f>_xlfn.CONCAT("Q",ROUNDUP(Table1[[#This Row],[Month]]/3,0))</f>
        <v>Q1</v>
      </c>
      <c r="P9" s="12">
        <f>Table1[[#This Row],[Amount]]*Table1[[#This Row],[Units]]</f>
        <v>869400</v>
      </c>
      <c r="Q9" s="13" t="str">
        <f>IF(Table1[[#This Row],[Total Sales]]&lt;AVERAGE(Table1[Total Sales]),"Low","High")</f>
        <v>High</v>
      </c>
    </row>
    <row r="10" spans="5:17" x14ac:dyDescent="0.3">
      <c r="E10" s="10">
        <v>6</v>
      </c>
      <c r="F10" s="10" t="s">
        <v>36</v>
      </c>
      <c r="G10" s="10" t="s">
        <v>45</v>
      </c>
      <c r="H10" s="10" t="s">
        <v>26</v>
      </c>
      <c r="I10" s="10">
        <v>8869</v>
      </c>
      <c r="J10" s="10">
        <v>432</v>
      </c>
      <c r="K10" s="11">
        <v>44932</v>
      </c>
      <c r="L10" s="13">
        <f>MONTH(Table1[[#This Row],[Order date ]])</f>
        <v>1</v>
      </c>
      <c r="M10" s="10" t="str">
        <f>TEXT(Table1[[#This Row],[Order date ]],"MMM")</f>
        <v>Jan</v>
      </c>
      <c r="N10" s="10" t="str">
        <f>TEXT(Table1[[#This Row],[Order date ]],"DDD")</f>
        <v>Fri</v>
      </c>
      <c r="O10" s="10" t="str">
        <f>_xlfn.CONCAT("Q",ROUNDUP(Table1[[#This Row],[Month]]/3,0))</f>
        <v>Q1</v>
      </c>
      <c r="P10" s="12">
        <f>Table1[[#This Row],[Amount]]*Table1[[#This Row],[Units]]</f>
        <v>3831408</v>
      </c>
      <c r="Q10" s="13" t="str">
        <f>IF(Table1[[#This Row],[Total Sales]]&lt;AVERAGE(Table1[Total Sales]),"Low","High")</f>
        <v>High</v>
      </c>
    </row>
    <row r="11" spans="5:17" x14ac:dyDescent="0.3">
      <c r="E11" s="10">
        <v>7</v>
      </c>
      <c r="F11" s="10" t="s">
        <v>32</v>
      </c>
      <c r="G11" s="10" t="s">
        <v>37</v>
      </c>
      <c r="H11" s="10" t="s">
        <v>24</v>
      </c>
      <c r="I11" s="10">
        <v>2681</v>
      </c>
      <c r="J11" s="10">
        <v>54</v>
      </c>
      <c r="K11" s="11">
        <v>44933</v>
      </c>
      <c r="L11" s="13">
        <f>MONTH(Table1[[#This Row],[Order date ]])</f>
        <v>1</v>
      </c>
      <c r="M11" s="10" t="str">
        <f>TEXT(Table1[[#This Row],[Order date ]],"MMM")</f>
        <v>Jan</v>
      </c>
      <c r="N11" s="10" t="str">
        <f>TEXT(Table1[[#This Row],[Order date ]],"DDD")</f>
        <v>Sat</v>
      </c>
      <c r="O11" s="10" t="str">
        <f>_xlfn.CONCAT("Q",ROUNDUP(Table1[[#This Row],[Month]]/3,0))</f>
        <v>Q1</v>
      </c>
      <c r="P11" s="12">
        <f>Table1[[#This Row],[Amount]]*Table1[[#This Row],[Units]]</f>
        <v>144774</v>
      </c>
      <c r="Q11" s="13" t="str">
        <f>IF(Table1[[#This Row],[Total Sales]]&lt;AVERAGE(Table1[Total Sales]),"Low","High")</f>
        <v>Low</v>
      </c>
    </row>
    <row r="12" spans="5:17" x14ac:dyDescent="0.3">
      <c r="E12" s="10">
        <v>8</v>
      </c>
      <c r="F12" s="10" t="s">
        <v>29</v>
      </c>
      <c r="G12" s="10" t="s">
        <v>45</v>
      </c>
      <c r="H12" s="10" t="s">
        <v>15</v>
      </c>
      <c r="I12" s="10">
        <v>5012</v>
      </c>
      <c r="J12" s="10">
        <v>210</v>
      </c>
      <c r="K12" s="11">
        <v>44934</v>
      </c>
      <c r="L12" s="13">
        <f>MONTH(Table1[[#This Row],[Order date ]])</f>
        <v>1</v>
      </c>
      <c r="M12" s="10" t="str">
        <f>TEXT(Table1[[#This Row],[Order date ]],"MMM")</f>
        <v>Jan</v>
      </c>
      <c r="N12" s="10" t="str">
        <f>TEXT(Table1[[#This Row],[Order date ]],"DDD")</f>
        <v>Sun</v>
      </c>
      <c r="O12" s="10" t="str">
        <f>_xlfn.CONCAT("Q",ROUNDUP(Table1[[#This Row],[Month]]/3,0))</f>
        <v>Q1</v>
      </c>
      <c r="P12" s="12">
        <f>Table1[[#This Row],[Amount]]*Table1[[#This Row],[Units]]</f>
        <v>1052520</v>
      </c>
      <c r="Q12" s="13" t="str">
        <f>IF(Table1[[#This Row],[Total Sales]]&lt;AVERAGE(Table1[Total Sales]),"Low","High")</f>
        <v>High</v>
      </c>
    </row>
    <row r="13" spans="5:17" x14ac:dyDescent="0.3">
      <c r="E13" s="10">
        <v>9</v>
      </c>
      <c r="F13" s="10" t="s">
        <v>31</v>
      </c>
      <c r="G13" s="10" t="s">
        <v>37</v>
      </c>
      <c r="H13" s="10" t="s">
        <v>7</v>
      </c>
      <c r="I13" s="10">
        <v>1281</v>
      </c>
      <c r="J13" s="10">
        <v>75</v>
      </c>
      <c r="K13" s="11">
        <v>44935</v>
      </c>
      <c r="L13" s="13">
        <f>MONTH(Table1[[#This Row],[Order date ]])</f>
        <v>1</v>
      </c>
      <c r="M13" s="10" t="str">
        <f>TEXT(Table1[[#This Row],[Order date ]],"MMM")</f>
        <v>Jan</v>
      </c>
      <c r="N13" s="10" t="str">
        <f>TEXT(Table1[[#This Row],[Order date ]],"DDD")</f>
        <v>Mon</v>
      </c>
      <c r="O13" s="10" t="str">
        <f>_xlfn.CONCAT("Q",ROUNDUP(Table1[[#This Row],[Month]]/3,0))</f>
        <v>Q1</v>
      </c>
      <c r="P13" s="12">
        <f>Table1[[#This Row],[Amount]]*Table1[[#This Row],[Units]]</f>
        <v>96075</v>
      </c>
      <c r="Q13" s="13" t="str">
        <f>IF(Table1[[#This Row],[Total Sales]]&lt;AVERAGE(Table1[Total Sales]),"Low","High")</f>
        <v>Low</v>
      </c>
    </row>
    <row r="14" spans="5:17" x14ac:dyDescent="0.3">
      <c r="E14" s="10">
        <v>10</v>
      </c>
      <c r="F14" s="10" t="s">
        <v>33</v>
      </c>
      <c r="G14" s="10" t="s">
        <v>40</v>
      </c>
      <c r="H14" s="10" t="s">
        <v>7</v>
      </c>
      <c r="I14" s="10">
        <v>4991</v>
      </c>
      <c r="J14" s="10">
        <v>12</v>
      </c>
      <c r="K14" s="11">
        <v>44936</v>
      </c>
      <c r="L14" s="13">
        <f>MONTH(Table1[[#This Row],[Order date ]])</f>
        <v>1</v>
      </c>
      <c r="M14" s="10" t="str">
        <f>TEXT(Table1[[#This Row],[Order date ]],"MMM")</f>
        <v>Jan</v>
      </c>
      <c r="N14" s="10" t="str">
        <f>TEXT(Table1[[#This Row],[Order date ]],"DDD")</f>
        <v>Tue</v>
      </c>
      <c r="O14" s="10" t="str">
        <f>_xlfn.CONCAT("Q",ROUNDUP(Table1[[#This Row],[Month]]/3,0))</f>
        <v>Q1</v>
      </c>
      <c r="P14" s="12">
        <f>Table1[[#This Row],[Amount]]*Table1[[#This Row],[Units]]</f>
        <v>59892</v>
      </c>
      <c r="Q14" s="13" t="str">
        <f>IF(Table1[[#This Row],[Total Sales]]&lt;AVERAGE(Table1[Total Sales]),"Low","High")</f>
        <v>Low</v>
      </c>
    </row>
    <row r="15" spans="5:17" x14ac:dyDescent="0.3">
      <c r="E15" s="10">
        <v>11</v>
      </c>
      <c r="F15" s="10" t="s">
        <v>28</v>
      </c>
      <c r="G15" s="10" t="s">
        <v>43</v>
      </c>
      <c r="H15" s="10" t="s">
        <v>18</v>
      </c>
      <c r="I15" s="10">
        <v>1785</v>
      </c>
      <c r="J15" s="10">
        <v>462</v>
      </c>
      <c r="K15" s="11">
        <v>44937</v>
      </c>
      <c r="L15" s="13">
        <f>MONTH(Table1[[#This Row],[Order date ]])</f>
        <v>1</v>
      </c>
      <c r="M15" s="10" t="str">
        <f>TEXT(Table1[[#This Row],[Order date ]],"MMM")</f>
        <v>Jan</v>
      </c>
      <c r="N15" s="10" t="str">
        <f>TEXT(Table1[[#This Row],[Order date ]],"DDD")</f>
        <v>Wed</v>
      </c>
      <c r="O15" s="10" t="str">
        <f>_xlfn.CONCAT("Q",ROUNDUP(Table1[[#This Row],[Month]]/3,0))</f>
        <v>Q1</v>
      </c>
      <c r="P15" s="12">
        <f>Table1[[#This Row],[Amount]]*Table1[[#This Row],[Units]]</f>
        <v>824670</v>
      </c>
      <c r="Q15" s="13" t="str">
        <f>IF(Table1[[#This Row],[Total Sales]]&lt;AVERAGE(Table1[Total Sales]),"Low","High")</f>
        <v>High</v>
      </c>
    </row>
    <row r="16" spans="5:17" x14ac:dyDescent="0.3">
      <c r="E16" s="10">
        <v>12</v>
      </c>
      <c r="F16" s="10" t="s">
        <v>34</v>
      </c>
      <c r="G16" s="10" t="s">
        <v>40</v>
      </c>
      <c r="H16" s="10" t="s">
        <v>10</v>
      </c>
      <c r="I16" s="10">
        <v>3983</v>
      </c>
      <c r="J16" s="10">
        <v>144</v>
      </c>
      <c r="K16" s="11">
        <v>44938</v>
      </c>
      <c r="L16" s="13">
        <f>MONTH(Table1[[#This Row],[Order date ]])</f>
        <v>1</v>
      </c>
      <c r="M16" s="10" t="str">
        <f>TEXT(Table1[[#This Row],[Order date ]],"MMM")</f>
        <v>Jan</v>
      </c>
      <c r="N16" s="10" t="str">
        <f>TEXT(Table1[[#This Row],[Order date ]],"DDD")</f>
        <v>Thu</v>
      </c>
      <c r="O16" s="10" t="str">
        <f>_xlfn.CONCAT("Q",ROUNDUP(Table1[[#This Row],[Month]]/3,0))</f>
        <v>Q1</v>
      </c>
      <c r="P16" s="12">
        <f>Table1[[#This Row],[Amount]]*Table1[[#This Row],[Units]]</f>
        <v>573552</v>
      </c>
      <c r="Q16" s="13" t="str">
        <f>IF(Table1[[#This Row],[Total Sales]]&lt;AVERAGE(Table1[Total Sales]),"Low","High")</f>
        <v>Low</v>
      </c>
    </row>
    <row r="17" spans="5:17" x14ac:dyDescent="0.3">
      <c r="E17" s="10">
        <v>13</v>
      </c>
      <c r="F17" s="10" t="s">
        <v>3</v>
      </c>
      <c r="G17" s="10" t="s">
        <v>37</v>
      </c>
      <c r="H17" s="10" t="s">
        <v>9</v>
      </c>
      <c r="I17" s="10">
        <v>2646</v>
      </c>
      <c r="J17" s="10">
        <v>120</v>
      </c>
      <c r="K17" s="11">
        <v>44939</v>
      </c>
      <c r="L17" s="13">
        <f>MONTH(Table1[[#This Row],[Order date ]])</f>
        <v>1</v>
      </c>
      <c r="M17" s="10" t="str">
        <f>TEXT(Table1[[#This Row],[Order date ]],"MMM")</f>
        <v>Jan</v>
      </c>
      <c r="N17" s="10" t="str">
        <f>TEXT(Table1[[#This Row],[Order date ]],"DDD")</f>
        <v>Fri</v>
      </c>
      <c r="O17" s="10" t="str">
        <f>_xlfn.CONCAT("Q",ROUNDUP(Table1[[#This Row],[Month]]/3,0))</f>
        <v>Q1</v>
      </c>
      <c r="P17" s="12">
        <f>Table1[[#This Row],[Amount]]*Table1[[#This Row],[Units]]</f>
        <v>317520</v>
      </c>
      <c r="Q17" s="13" t="str">
        <f>IF(Table1[[#This Row],[Total Sales]]&lt;AVERAGE(Table1[Total Sales]),"Low","High")</f>
        <v>Low</v>
      </c>
    </row>
    <row r="18" spans="5:17" x14ac:dyDescent="0.3">
      <c r="E18" s="10">
        <v>14</v>
      </c>
      <c r="F18" s="10" t="s">
        <v>28</v>
      </c>
      <c r="G18" s="10" t="s">
        <v>39</v>
      </c>
      <c r="H18" s="10" t="s">
        <v>6</v>
      </c>
      <c r="I18" s="10">
        <v>252</v>
      </c>
      <c r="J18" s="10">
        <v>54</v>
      </c>
      <c r="K18" s="11">
        <v>44940</v>
      </c>
      <c r="L18" s="13">
        <f>MONTH(Table1[[#This Row],[Order date ]])</f>
        <v>1</v>
      </c>
      <c r="M18" s="10" t="str">
        <f>TEXT(Table1[[#This Row],[Order date ]],"MMM")</f>
        <v>Jan</v>
      </c>
      <c r="N18" s="10" t="str">
        <f>TEXT(Table1[[#This Row],[Order date ]],"DDD")</f>
        <v>Sat</v>
      </c>
      <c r="O18" s="10" t="str">
        <f>_xlfn.CONCAT("Q",ROUNDUP(Table1[[#This Row],[Month]]/3,0))</f>
        <v>Q1</v>
      </c>
      <c r="P18" s="12">
        <f>Table1[[#This Row],[Amount]]*Table1[[#This Row],[Units]]</f>
        <v>13608</v>
      </c>
      <c r="Q18" s="13" t="str">
        <f>IF(Table1[[#This Row],[Total Sales]]&lt;AVERAGE(Table1[Total Sales]),"Low","High")</f>
        <v>Low</v>
      </c>
    </row>
    <row r="19" spans="5:17" x14ac:dyDescent="0.3">
      <c r="E19" s="10">
        <v>15</v>
      </c>
      <c r="F19" s="10" t="s">
        <v>34</v>
      </c>
      <c r="G19" s="10" t="s">
        <v>45</v>
      </c>
      <c r="H19" s="10" t="s">
        <v>18</v>
      </c>
      <c r="I19" s="10">
        <v>2464</v>
      </c>
      <c r="J19" s="10">
        <v>234</v>
      </c>
      <c r="K19" s="11">
        <v>44941</v>
      </c>
      <c r="L19" s="13">
        <f>MONTH(Table1[[#This Row],[Order date ]])</f>
        <v>1</v>
      </c>
      <c r="M19" s="10" t="str">
        <f>TEXT(Table1[[#This Row],[Order date ]],"MMM")</f>
        <v>Jan</v>
      </c>
      <c r="N19" s="10" t="str">
        <f>TEXT(Table1[[#This Row],[Order date ]],"DDD")</f>
        <v>Sun</v>
      </c>
      <c r="O19" s="10" t="str">
        <f>_xlfn.CONCAT("Q",ROUNDUP(Table1[[#This Row],[Month]]/3,0))</f>
        <v>Q1</v>
      </c>
      <c r="P19" s="12">
        <f>Table1[[#This Row],[Amount]]*Table1[[#This Row],[Units]]</f>
        <v>576576</v>
      </c>
      <c r="Q19" s="13" t="str">
        <f>IF(Table1[[#This Row],[Total Sales]]&lt;AVERAGE(Table1[Total Sales]),"Low","High")</f>
        <v>Low</v>
      </c>
    </row>
    <row r="20" spans="5:17" x14ac:dyDescent="0.3">
      <c r="E20" s="10">
        <v>16</v>
      </c>
      <c r="F20" s="10" t="s">
        <v>34</v>
      </c>
      <c r="G20" s="10" t="s">
        <v>45</v>
      </c>
      <c r="H20" s="10" t="s">
        <v>22</v>
      </c>
      <c r="I20" s="10">
        <v>2114</v>
      </c>
      <c r="J20" s="10">
        <v>66</v>
      </c>
      <c r="K20" s="11">
        <v>44942</v>
      </c>
      <c r="L20" s="13">
        <f>MONTH(Table1[[#This Row],[Order date ]])</f>
        <v>1</v>
      </c>
      <c r="M20" s="10" t="str">
        <f>TEXT(Table1[[#This Row],[Order date ]],"MMM")</f>
        <v>Jan</v>
      </c>
      <c r="N20" s="10" t="str">
        <f>TEXT(Table1[[#This Row],[Order date ]],"DDD")</f>
        <v>Mon</v>
      </c>
      <c r="O20" s="10" t="str">
        <f>_xlfn.CONCAT("Q",ROUNDUP(Table1[[#This Row],[Month]]/3,0))</f>
        <v>Q1</v>
      </c>
      <c r="P20" s="12">
        <f>Table1[[#This Row],[Amount]]*Table1[[#This Row],[Units]]</f>
        <v>139524</v>
      </c>
      <c r="Q20" s="13" t="str">
        <f>IF(Table1[[#This Row],[Total Sales]]&lt;AVERAGE(Table1[Total Sales]),"Low","High")</f>
        <v>Low</v>
      </c>
    </row>
    <row r="21" spans="5:17" x14ac:dyDescent="0.3">
      <c r="E21" s="10">
        <v>17</v>
      </c>
      <c r="F21" s="10" t="s">
        <v>32</v>
      </c>
      <c r="G21" s="10" t="s">
        <v>40</v>
      </c>
      <c r="H21" s="10" t="s">
        <v>24</v>
      </c>
      <c r="I21" s="10">
        <v>7693</v>
      </c>
      <c r="J21" s="10">
        <v>87</v>
      </c>
      <c r="K21" s="11">
        <v>44943</v>
      </c>
      <c r="L21" s="13">
        <f>MONTH(Table1[[#This Row],[Order date ]])</f>
        <v>1</v>
      </c>
      <c r="M21" s="10" t="str">
        <f>TEXT(Table1[[#This Row],[Order date ]],"MMM")</f>
        <v>Jan</v>
      </c>
      <c r="N21" s="10" t="str">
        <f>TEXT(Table1[[#This Row],[Order date ]],"DDD")</f>
        <v>Tue</v>
      </c>
      <c r="O21" s="10" t="str">
        <f>_xlfn.CONCAT("Q",ROUNDUP(Table1[[#This Row],[Month]]/3,0))</f>
        <v>Q1</v>
      </c>
      <c r="P21" s="12">
        <f>Table1[[#This Row],[Amount]]*Table1[[#This Row],[Units]]</f>
        <v>669291</v>
      </c>
      <c r="Q21" s="13" t="str">
        <f>IF(Table1[[#This Row],[Total Sales]]&lt;AVERAGE(Table1[Total Sales]),"Low","High")</f>
        <v>High</v>
      </c>
    </row>
    <row r="22" spans="5:17" x14ac:dyDescent="0.3">
      <c r="E22" s="10">
        <v>18</v>
      </c>
      <c r="F22" s="10" t="s">
        <v>33</v>
      </c>
      <c r="G22" s="10" t="s">
        <v>39</v>
      </c>
      <c r="H22" s="10" t="s">
        <v>13</v>
      </c>
      <c r="I22" s="10">
        <v>15610</v>
      </c>
      <c r="J22" s="10">
        <v>339</v>
      </c>
      <c r="K22" s="11">
        <v>44944</v>
      </c>
      <c r="L22" s="13">
        <f>MONTH(Table1[[#This Row],[Order date ]])</f>
        <v>1</v>
      </c>
      <c r="M22" s="10" t="str">
        <f>TEXT(Table1[[#This Row],[Order date ]],"MMM")</f>
        <v>Jan</v>
      </c>
      <c r="N22" s="10" t="str">
        <f>TEXT(Table1[[#This Row],[Order date ]],"DDD")</f>
        <v>Wed</v>
      </c>
      <c r="O22" s="10" t="str">
        <f>_xlfn.CONCAT("Q",ROUNDUP(Table1[[#This Row],[Month]]/3,0))</f>
        <v>Q1</v>
      </c>
      <c r="P22" s="12">
        <f>Table1[[#This Row],[Amount]]*Table1[[#This Row],[Units]]</f>
        <v>5291790</v>
      </c>
      <c r="Q22" s="13" t="str">
        <f>IF(Table1[[#This Row],[Total Sales]]&lt;AVERAGE(Table1[Total Sales]),"Low","High")</f>
        <v>High</v>
      </c>
    </row>
    <row r="23" spans="5:17" x14ac:dyDescent="0.3">
      <c r="E23" s="10">
        <v>19</v>
      </c>
      <c r="F23" s="10" t="s">
        <v>30</v>
      </c>
      <c r="G23" s="10" t="s">
        <v>39</v>
      </c>
      <c r="H23" s="10" t="s">
        <v>15</v>
      </c>
      <c r="I23" s="10">
        <v>336</v>
      </c>
      <c r="J23" s="10">
        <v>144</v>
      </c>
      <c r="K23" s="11">
        <v>44945</v>
      </c>
      <c r="L23" s="13">
        <f>MONTH(Table1[[#This Row],[Order date ]])</f>
        <v>1</v>
      </c>
      <c r="M23" s="10" t="str">
        <f>TEXT(Table1[[#This Row],[Order date ]],"MMM")</f>
        <v>Jan</v>
      </c>
      <c r="N23" s="10" t="str">
        <f>TEXT(Table1[[#This Row],[Order date ]],"DDD")</f>
        <v>Thu</v>
      </c>
      <c r="O23" s="10" t="str">
        <f>_xlfn.CONCAT("Q",ROUNDUP(Table1[[#This Row],[Month]]/3,0))</f>
        <v>Q1</v>
      </c>
      <c r="P23" s="12">
        <f>Table1[[#This Row],[Amount]]*Table1[[#This Row],[Units]]</f>
        <v>48384</v>
      </c>
      <c r="Q23" s="13" t="str">
        <f>IF(Table1[[#This Row],[Total Sales]]&lt;AVERAGE(Table1[Total Sales]),"Low","High")</f>
        <v>Low</v>
      </c>
    </row>
    <row r="24" spans="5:17" x14ac:dyDescent="0.3">
      <c r="E24" s="10">
        <v>20</v>
      </c>
      <c r="F24" s="10" t="s">
        <v>28</v>
      </c>
      <c r="G24" s="10" t="s">
        <v>43</v>
      </c>
      <c r="H24" s="10" t="s">
        <v>13</v>
      </c>
      <c r="I24" s="10">
        <v>9443</v>
      </c>
      <c r="J24" s="10">
        <v>162</v>
      </c>
      <c r="K24" s="11">
        <v>44946</v>
      </c>
      <c r="L24" s="13">
        <f>MONTH(Table1[[#This Row],[Order date ]])</f>
        <v>1</v>
      </c>
      <c r="M24" s="10" t="str">
        <f>TEXT(Table1[[#This Row],[Order date ]],"MMM")</f>
        <v>Jan</v>
      </c>
      <c r="N24" s="10" t="str">
        <f>TEXT(Table1[[#This Row],[Order date ]],"DDD")</f>
        <v>Fri</v>
      </c>
      <c r="O24" s="10" t="str">
        <f>_xlfn.CONCAT("Q",ROUNDUP(Table1[[#This Row],[Month]]/3,0))</f>
        <v>Q1</v>
      </c>
      <c r="P24" s="12">
        <f>Table1[[#This Row],[Amount]]*Table1[[#This Row],[Units]]</f>
        <v>1529766</v>
      </c>
      <c r="Q24" s="13" t="str">
        <f>IF(Table1[[#This Row],[Total Sales]]&lt;AVERAGE(Table1[Total Sales]),"Low","High")</f>
        <v>High</v>
      </c>
    </row>
    <row r="25" spans="5:17" x14ac:dyDescent="0.3">
      <c r="E25" s="10">
        <v>21</v>
      </c>
      <c r="F25" s="10" t="s">
        <v>3</v>
      </c>
      <c r="G25" s="10" t="s">
        <v>39</v>
      </c>
      <c r="H25" s="10" t="s">
        <v>16</v>
      </c>
      <c r="I25" s="10">
        <v>8155</v>
      </c>
      <c r="J25" s="10">
        <v>90</v>
      </c>
      <c r="K25" s="11">
        <v>44947</v>
      </c>
      <c r="L25" s="13">
        <f>MONTH(Table1[[#This Row],[Order date ]])</f>
        <v>1</v>
      </c>
      <c r="M25" s="10" t="str">
        <f>TEXT(Table1[[#This Row],[Order date ]],"MMM")</f>
        <v>Jan</v>
      </c>
      <c r="N25" s="10" t="str">
        <f>TEXT(Table1[[#This Row],[Order date ]],"DDD")</f>
        <v>Sat</v>
      </c>
      <c r="O25" s="10" t="str">
        <f>_xlfn.CONCAT("Q",ROUNDUP(Table1[[#This Row],[Month]]/3,0))</f>
        <v>Q1</v>
      </c>
      <c r="P25" s="12">
        <f>Table1[[#This Row],[Amount]]*Table1[[#This Row],[Units]]</f>
        <v>733950</v>
      </c>
      <c r="Q25" s="13" t="str">
        <f>IF(Table1[[#This Row],[Total Sales]]&lt;AVERAGE(Table1[Total Sales]),"Low","High")</f>
        <v>High</v>
      </c>
    </row>
    <row r="26" spans="5:17" x14ac:dyDescent="0.3">
      <c r="E26" s="10">
        <v>22</v>
      </c>
      <c r="F26" s="10" t="s">
        <v>29</v>
      </c>
      <c r="G26" s="10" t="s">
        <v>37</v>
      </c>
      <c r="H26" s="10" t="s">
        <v>16</v>
      </c>
      <c r="I26" s="10">
        <v>1701</v>
      </c>
      <c r="J26" s="10">
        <v>234</v>
      </c>
      <c r="K26" s="11">
        <v>44948</v>
      </c>
      <c r="L26" s="13">
        <f>MONTH(Table1[[#This Row],[Order date ]])</f>
        <v>1</v>
      </c>
      <c r="M26" s="10" t="str">
        <f>TEXT(Table1[[#This Row],[Order date ]],"MMM")</f>
        <v>Jan</v>
      </c>
      <c r="N26" s="10" t="str">
        <f>TEXT(Table1[[#This Row],[Order date ]],"DDD")</f>
        <v>Sun</v>
      </c>
      <c r="O26" s="10" t="str">
        <f>_xlfn.CONCAT("Q",ROUNDUP(Table1[[#This Row],[Month]]/3,0))</f>
        <v>Q1</v>
      </c>
      <c r="P26" s="12">
        <f>Table1[[#This Row],[Amount]]*Table1[[#This Row],[Units]]</f>
        <v>398034</v>
      </c>
      <c r="Q26" s="13" t="str">
        <f>IF(Table1[[#This Row],[Total Sales]]&lt;AVERAGE(Table1[Total Sales]),"Low","High")</f>
        <v>Low</v>
      </c>
    </row>
    <row r="27" spans="5:17" x14ac:dyDescent="0.3">
      <c r="E27" s="10">
        <v>23</v>
      </c>
      <c r="F27" s="10" t="s">
        <v>35</v>
      </c>
      <c r="G27" s="10" t="s">
        <v>37</v>
      </c>
      <c r="H27" s="10" t="s">
        <v>15</v>
      </c>
      <c r="I27" s="10">
        <v>2205</v>
      </c>
      <c r="J27" s="10">
        <v>141</v>
      </c>
      <c r="K27" s="11">
        <v>44949</v>
      </c>
      <c r="L27" s="13">
        <f>MONTH(Table1[[#This Row],[Order date ]])</f>
        <v>1</v>
      </c>
      <c r="M27" s="10" t="str">
        <f>TEXT(Table1[[#This Row],[Order date ]],"MMM")</f>
        <v>Jan</v>
      </c>
      <c r="N27" s="10" t="str">
        <f>TEXT(Table1[[#This Row],[Order date ]],"DDD")</f>
        <v>Mon</v>
      </c>
      <c r="O27" s="10" t="str">
        <f>_xlfn.CONCAT("Q",ROUNDUP(Table1[[#This Row],[Month]]/3,0))</f>
        <v>Q1</v>
      </c>
      <c r="P27" s="12">
        <f>Table1[[#This Row],[Amount]]*Table1[[#This Row],[Units]]</f>
        <v>310905</v>
      </c>
      <c r="Q27" s="13" t="str">
        <f>IF(Table1[[#This Row],[Total Sales]]&lt;AVERAGE(Table1[Total Sales]),"Low","High")</f>
        <v>Low</v>
      </c>
    </row>
    <row r="28" spans="5:17" x14ac:dyDescent="0.3">
      <c r="E28" s="10">
        <v>24</v>
      </c>
      <c r="F28" s="10" t="s">
        <v>29</v>
      </c>
      <c r="G28" s="10" t="s">
        <v>40</v>
      </c>
      <c r="H28" s="10" t="s">
        <v>12</v>
      </c>
      <c r="I28" s="10">
        <v>1771</v>
      </c>
      <c r="J28" s="10">
        <v>204</v>
      </c>
      <c r="K28" s="11">
        <v>44950</v>
      </c>
      <c r="L28" s="13">
        <f>MONTH(Table1[[#This Row],[Order date ]])</f>
        <v>1</v>
      </c>
      <c r="M28" s="10" t="str">
        <f>TEXT(Table1[[#This Row],[Order date ]],"MMM")</f>
        <v>Jan</v>
      </c>
      <c r="N28" s="10" t="str">
        <f>TEXT(Table1[[#This Row],[Order date ]],"DDD")</f>
        <v>Tue</v>
      </c>
      <c r="O28" s="10" t="str">
        <f>_xlfn.CONCAT("Q",ROUNDUP(Table1[[#This Row],[Month]]/3,0))</f>
        <v>Q1</v>
      </c>
      <c r="P28" s="12">
        <f>Table1[[#This Row],[Amount]]*Table1[[#This Row],[Units]]</f>
        <v>361284</v>
      </c>
      <c r="Q28" s="13" t="str">
        <f>IF(Table1[[#This Row],[Total Sales]]&lt;AVERAGE(Table1[Total Sales]),"Low","High")</f>
        <v>Low</v>
      </c>
    </row>
    <row r="29" spans="5:17" x14ac:dyDescent="0.3">
      <c r="E29" s="10">
        <v>25</v>
      </c>
      <c r="F29" s="10" t="s">
        <v>30</v>
      </c>
      <c r="G29" s="10" t="s">
        <v>45</v>
      </c>
      <c r="H29" s="10" t="s">
        <v>8</v>
      </c>
      <c r="I29" s="10">
        <v>2114</v>
      </c>
      <c r="J29" s="10">
        <v>186</v>
      </c>
      <c r="K29" s="11">
        <v>44951</v>
      </c>
      <c r="L29" s="13">
        <f>MONTH(Table1[[#This Row],[Order date ]])</f>
        <v>1</v>
      </c>
      <c r="M29" s="10" t="str">
        <f>TEXT(Table1[[#This Row],[Order date ]],"MMM")</f>
        <v>Jan</v>
      </c>
      <c r="N29" s="10" t="str">
        <f>TEXT(Table1[[#This Row],[Order date ]],"DDD")</f>
        <v>Wed</v>
      </c>
      <c r="O29" s="10" t="str">
        <f>_xlfn.CONCAT("Q",ROUNDUP(Table1[[#This Row],[Month]]/3,0))</f>
        <v>Q1</v>
      </c>
      <c r="P29" s="12">
        <f>Table1[[#This Row],[Amount]]*Table1[[#This Row],[Units]]</f>
        <v>393204</v>
      </c>
      <c r="Q29" s="13" t="str">
        <f>IF(Table1[[#This Row],[Total Sales]]&lt;AVERAGE(Table1[Total Sales]),"Low","High")</f>
        <v>Low</v>
      </c>
    </row>
    <row r="30" spans="5:17" x14ac:dyDescent="0.3">
      <c r="E30" s="10">
        <v>26</v>
      </c>
      <c r="F30" s="10" t="s">
        <v>30</v>
      </c>
      <c r="G30" s="10" t="s">
        <v>38</v>
      </c>
      <c r="H30" s="10" t="s">
        <v>6</v>
      </c>
      <c r="I30" s="10">
        <v>10311</v>
      </c>
      <c r="J30" s="10">
        <v>231</v>
      </c>
      <c r="K30" s="11">
        <v>44952</v>
      </c>
      <c r="L30" s="13">
        <f>MONTH(Table1[[#This Row],[Order date ]])</f>
        <v>1</v>
      </c>
      <c r="M30" s="10" t="str">
        <f>TEXT(Table1[[#This Row],[Order date ]],"MMM")</f>
        <v>Jan</v>
      </c>
      <c r="N30" s="10" t="str">
        <f>TEXT(Table1[[#This Row],[Order date ]],"DDD")</f>
        <v>Thu</v>
      </c>
      <c r="O30" s="10" t="str">
        <f>_xlfn.CONCAT("Q",ROUNDUP(Table1[[#This Row],[Month]]/3,0))</f>
        <v>Q1</v>
      </c>
      <c r="P30" s="12">
        <f>Table1[[#This Row],[Amount]]*Table1[[#This Row],[Units]]</f>
        <v>2381841</v>
      </c>
      <c r="Q30" s="13" t="str">
        <f>IF(Table1[[#This Row],[Total Sales]]&lt;AVERAGE(Table1[Total Sales]),"Low","High")</f>
        <v>High</v>
      </c>
    </row>
    <row r="31" spans="5:17" x14ac:dyDescent="0.3">
      <c r="E31" s="10">
        <v>27</v>
      </c>
      <c r="F31" s="10" t="s">
        <v>34</v>
      </c>
      <c r="G31" s="10" t="s">
        <v>43</v>
      </c>
      <c r="H31" s="10" t="s">
        <v>9</v>
      </c>
      <c r="I31" s="10">
        <v>21</v>
      </c>
      <c r="J31" s="10">
        <v>168</v>
      </c>
      <c r="K31" s="11">
        <v>44953</v>
      </c>
      <c r="L31" s="13">
        <f>MONTH(Table1[[#This Row],[Order date ]])</f>
        <v>1</v>
      </c>
      <c r="M31" s="10" t="str">
        <f>TEXT(Table1[[#This Row],[Order date ]],"MMM")</f>
        <v>Jan</v>
      </c>
      <c r="N31" s="10" t="str">
        <f>TEXT(Table1[[#This Row],[Order date ]],"DDD")</f>
        <v>Fri</v>
      </c>
      <c r="O31" s="10" t="str">
        <f>_xlfn.CONCAT("Q",ROUNDUP(Table1[[#This Row],[Month]]/3,0))</f>
        <v>Q1</v>
      </c>
      <c r="P31" s="12">
        <f>Table1[[#This Row],[Amount]]*Table1[[#This Row],[Units]]</f>
        <v>3528</v>
      </c>
      <c r="Q31" s="13" t="str">
        <f>IF(Table1[[#This Row],[Total Sales]]&lt;AVERAGE(Table1[Total Sales]),"Low","High")</f>
        <v>Low</v>
      </c>
    </row>
    <row r="32" spans="5:17" x14ac:dyDescent="0.3">
      <c r="E32" s="10">
        <v>28</v>
      </c>
      <c r="F32" s="10" t="s">
        <v>35</v>
      </c>
      <c r="G32" s="10" t="s">
        <v>45</v>
      </c>
      <c r="H32" s="10" t="s">
        <v>13</v>
      </c>
      <c r="I32" s="10">
        <v>1974</v>
      </c>
      <c r="J32" s="10">
        <v>195</v>
      </c>
      <c r="K32" s="11">
        <v>44954</v>
      </c>
      <c r="L32" s="13">
        <f>MONTH(Table1[[#This Row],[Order date ]])</f>
        <v>1</v>
      </c>
      <c r="M32" s="10" t="str">
        <f>TEXT(Table1[[#This Row],[Order date ]],"MMM")</f>
        <v>Jan</v>
      </c>
      <c r="N32" s="10" t="str">
        <f>TEXT(Table1[[#This Row],[Order date ]],"DDD")</f>
        <v>Sat</v>
      </c>
      <c r="O32" s="10" t="str">
        <f>_xlfn.CONCAT("Q",ROUNDUP(Table1[[#This Row],[Month]]/3,0))</f>
        <v>Q1</v>
      </c>
      <c r="P32" s="12">
        <f>Table1[[#This Row],[Amount]]*Table1[[#This Row],[Units]]</f>
        <v>384930</v>
      </c>
      <c r="Q32" s="13" t="str">
        <f>IF(Table1[[#This Row],[Total Sales]]&lt;AVERAGE(Table1[Total Sales]),"Low","High")</f>
        <v>Low</v>
      </c>
    </row>
    <row r="33" spans="5:17" x14ac:dyDescent="0.3">
      <c r="E33" s="10">
        <v>29</v>
      </c>
      <c r="F33" s="10" t="s">
        <v>33</v>
      </c>
      <c r="G33" s="10" t="s">
        <v>38</v>
      </c>
      <c r="H33" s="10" t="s">
        <v>16</v>
      </c>
      <c r="I33" s="10">
        <v>6314</v>
      </c>
      <c r="J33" s="10">
        <v>15</v>
      </c>
      <c r="K33" s="11">
        <v>44955</v>
      </c>
      <c r="L33" s="13">
        <f>MONTH(Table1[[#This Row],[Order date ]])</f>
        <v>1</v>
      </c>
      <c r="M33" s="10" t="str">
        <f>TEXT(Table1[[#This Row],[Order date ]],"MMM")</f>
        <v>Jan</v>
      </c>
      <c r="N33" s="10" t="str">
        <f>TEXT(Table1[[#This Row],[Order date ]],"DDD")</f>
        <v>Sun</v>
      </c>
      <c r="O33" s="10" t="str">
        <f>_xlfn.CONCAT("Q",ROUNDUP(Table1[[#This Row],[Month]]/3,0))</f>
        <v>Q1</v>
      </c>
      <c r="P33" s="12">
        <f>Table1[[#This Row],[Amount]]*Table1[[#This Row],[Units]]</f>
        <v>94710</v>
      </c>
      <c r="Q33" s="13" t="str">
        <f>IF(Table1[[#This Row],[Total Sales]]&lt;AVERAGE(Table1[Total Sales]),"Low","High")</f>
        <v>Low</v>
      </c>
    </row>
    <row r="34" spans="5:17" x14ac:dyDescent="0.3">
      <c r="E34" s="10">
        <v>30</v>
      </c>
      <c r="F34" s="10" t="s">
        <v>35</v>
      </c>
      <c r="G34" s="10" t="s">
        <v>40</v>
      </c>
      <c r="H34" s="10" t="s">
        <v>16</v>
      </c>
      <c r="I34" s="10">
        <v>4683</v>
      </c>
      <c r="J34" s="10">
        <v>30</v>
      </c>
      <c r="K34" s="11">
        <v>44956</v>
      </c>
      <c r="L34" s="13">
        <f>MONTH(Table1[[#This Row],[Order date ]])</f>
        <v>1</v>
      </c>
      <c r="M34" s="10" t="str">
        <f>TEXT(Table1[[#This Row],[Order date ]],"MMM")</f>
        <v>Jan</v>
      </c>
      <c r="N34" s="10" t="str">
        <f>TEXT(Table1[[#This Row],[Order date ]],"DDD")</f>
        <v>Mon</v>
      </c>
      <c r="O34" s="10" t="str">
        <f>_xlfn.CONCAT("Q",ROUNDUP(Table1[[#This Row],[Month]]/3,0))</f>
        <v>Q1</v>
      </c>
      <c r="P34" s="12">
        <f>Table1[[#This Row],[Amount]]*Table1[[#This Row],[Units]]</f>
        <v>140490</v>
      </c>
      <c r="Q34" s="13" t="str">
        <f>IF(Table1[[#This Row],[Total Sales]]&lt;AVERAGE(Table1[Total Sales]),"Low","High")</f>
        <v>Low</v>
      </c>
    </row>
    <row r="35" spans="5:17" x14ac:dyDescent="0.3">
      <c r="E35" s="10">
        <v>31</v>
      </c>
      <c r="F35" s="10" t="s">
        <v>30</v>
      </c>
      <c r="G35" s="10" t="s">
        <v>40</v>
      </c>
      <c r="H35" s="10" t="s">
        <v>17</v>
      </c>
      <c r="I35" s="10">
        <v>6398</v>
      </c>
      <c r="J35" s="10">
        <v>102</v>
      </c>
      <c r="K35" s="11">
        <v>44957</v>
      </c>
      <c r="L35" s="13">
        <f>MONTH(Table1[[#This Row],[Order date ]])</f>
        <v>1</v>
      </c>
      <c r="M35" s="10" t="str">
        <f>TEXT(Table1[[#This Row],[Order date ]],"MMM")</f>
        <v>Jan</v>
      </c>
      <c r="N35" s="10" t="str">
        <f>TEXT(Table1[[#This Row],[Order date ]],"DDD")</f>
        <v>Tue</v>
      </c>
      <c r="O35" s="10" t="str">
        <f>_xlfn.CONCAT("Q",ROUNDUP(Table1[[#This Row],[Month]]/3,0))</f>
        <v>Q1</v>
      </c>
      <c r="P35" s="12">
        <f>Table1[[#This Row],[Amount]]*Table1[[#This Row],[Units]]</f>
        <v>652596</v>
      </c>
      <c r="Q35" s="13" t="str">
        <f>IF(Table1[[#This Row],[Total Sales]]&lt;AVERAGE(Table1[Total Sales]),"Low","High")</f>
        <v>High</v>
      </c>
    </row>
    <row r="36" spans="5:17" x14ac:dyDescent="0.3">
      <c r="E36" s="10">
        <v>32</v>
      </c>
      <c r="F36" s="10" t="s">
        <v>28</v>
      </c>
      <c r="G36" s="10" t="s">
        <v>45</v>
      </c>
      <c r="H36" s="10" t="s">
        <v>12</v>
      </c>
      <c r="I36" s="10">
        <v>553</v>
      </c>
      <c r="J36" s="10">
        <v>15</v>
      </c>
      <c r="K36" s="11">
        <v>44958</v>
      </c>
      <c r="L36" s="13">
        <f>MONTH(Table1[[#This Row],[Order date ]])</f>
        <v>2</v>
      </c>
      <c r="M36" s="10" t="str">
        <f>TEXT(Table1[[#This Row],[Order date ]],"MMM")</f>
        <v>Feb</v>
      </c>
      <c r="N36" s="10" t="str">
        <f>TEXT(Table1[[#This Row],[Order date ]],"DDD")</f>
        <v>Wed</v>
      </c>
      <c r="O36" s="10" t="str">
        <f>_xlfn.CONCAT("Q",ROUNDUP(Table1[[#This Row],[Month]]/3,0))</f>
        <v>Q1</v>
      </c>
      <c r="P36" s="12">
        <f>Table1[[#This Row],[Amount]]*Table1[[#This Row],[Units]]</f>
        <v>8295</v>
      </c>
      <c r="Q36" s="13" t="str">
        <f>IF(Table1[[#This Row],[Total Sales]]&lt;AVERAGE(Table1[Total Sales]),"Low","High")</f>
        <v>Low</v>
      </c>
    </row>
    <row r="37" spans="5:17" x14ac:dyDescent="0.3">
      <c r="E37" s="10">
        <v>33</v>
      </c>
      <c r="F37" s="10" t="s">
        <v>29</v>
      </c>
      <c r="G37" s="10" t="s">
        <v>43</v>
      </c>
      <c r="H37" s="10" t="s">
        <v>23</v>
      </c>
      <c r="I37" s="10">
        <v>7021</v>
      </c>
      <c r="J37" s="10">
        <v>183</v>
      </c>
      <c r="K37" s="11">
        <v>44959</v>
      </c>
      <c r="L37" s="13">
        <f>MONTH(Table1[[#This Row],[Order date ]])</f>
        <v>2</v>
      </c>
      <c r="M37" s="10" t="str">
        <f>TEXT(Table1[[#This Row],[Order date ]],"MMM")</f>
        <v>Feb</v>
      </c>
      <c r="N37" s="10" t="str">
        <f>TEXT(Table1[[#This Row],[Order date ]],"DDD")</f>
        <v>Thu</v>
      </c>
      <c r="O37" s="10" t="str">
        <f>_xlfn.CONCAT("Q",ROUNDUP(Table1[[#This Row],[Month]]/3,0))</f>
        <v>Q1</v>
      </c>
      <c r="P37" s="12">
        <f>Table1[[#This Row],[Amount]]*Table1[[#This Row],[Units]]</f>
        <v>1284843</v>
      </c>
      <c r="Q37" s="13" t="str">
        <f>IF(Table1[[#This Row],[Total Sales]]&lt;AVERAGE(Table1[Total Sales]),"Low","High")</f>
        <v>High</v>
      </c>
    </row>
    <row r="38" spans="5:17" x14ac:dyDescent="0.3">
      <c r="E38" s="10">
        <v>34</v>
      </c>
      <c r="F38" s="10" t="s">
        <v>36</v>
      </c>
      <c r="G38" s="10" t="s">
        <v>43</v>
      </c>
      <c r="H38" s="10" t="s">
        <v>15</v>
      </c>
      <c r="I38" s="10">
        <v>5817</v>
      </c>
      <c r="J38" s="10">
        <v>12</v>
      </c>
      <c r="K38" s="11">
        <v>44960</v>
      </c>
      <c r="L38" s="13">
        <f>MONTH(Table1[[#This Row],[Order date ]])</f>
        <v>2</v>
      </c>
      <c r="M38" s="10" t="str">
        <f>TEXT(Table1[[#This Row],[Order date ]],"MMM")</f>
        <v>Feb</v>
      </c>
      <c r="N38" s="10" t="str">
        <f>TEXT(Table1[[#This Row],[Order date ]],"DDD")</f>
        <v>Fri</v>
      </c>
      <c r="O38" s="10" t="str">
        <f>_xlfn.CONCAT("Q",ROUNDUP(Table1[[#This Row],[Month]]/3,0))</f>
        <v>Q1</v>
      </c>
      <c r="P38" s="12">
        <f>Table1[[#This Row],[Amount]]*Table1[[#This Row],[Units]]</f>
        <v>69804</v>
      </c>
      <c r="Q38" s="13" t="str">
        <f>IF(Table1[[#This Row],[Total Sales]]&lt;AVERAGE(Table1[Total Sales]),"Low","High")</f>
        <v>Low</v>
      </c>
    </row>
    <row r="39" spans="5:17" x14ac:dyDescent="0.3">
      <c r="E39" s="10">
        <v>35</v>
      </c>
      <c r="F39" s="10" t="s">
        <v>30</v>
      </c>
      <c r="G39" s="10" t="s">
        <v>43</v>
      </c>
      <c r="H39" s="10" t="s">
        <v>7</v>
      </c>
      <c r="I39" s="10">
        <v>3976</v>
      </c>
      <c r="J39" s="10">
        <v>72</v>
      </c>
      <c r="K39" s="11">
        <v>44961</v>
      </c>
      <c r="L39" s="13">
        <f>MONTH(Table1[[#This Row],[Order date ]])</f>
        <v>2</v>
      </c>
      <c r="M39" s="10" t="str">
        <f>TEXT(Table1[[#This Row],[Order date ]],"MMM")</f>
        <v>Feb</v>
      </c>
      <c r="N39" s="10" t="str">
        <f>TEXT(Table1[[#This Row],[Order date ]],"DDD")</f>
        <v>Sat</v>
      </c>
      <c r="O39" s="10" t="str">
        <f>_xlfn.CONCAT("Q",ROUNDUP(Table1[[#This Row],[Month]]/3,0))</f>
        <v>Q1</v>
      </c>
      <c r="P39" s="12">
        <f>Table1[[#This Row],[Amount]]*Table1[[#This Row],[Units]]</f>
        <v>286272</v>
      </c>
      <c r="Q39" s="13" t="str">
        <f>IF(Table1[[#This Row],[Total Sales]]&lt;AVERAGE(Table1[Total Sales]),"Low","High")</f>
        <v>Low</v>
      </c>
    </row>
    <row r="40" spans="5:17" x14ac:dyDescent="0.3">
      <c r="E40" s="10">
        <v>36</v>
      </c>
      <c r="F40" s="10" t="s">
        <v>32</v>
      </c>
      <c r="G40" s="10" t="s">
        <v>37</v>
      </c>
      <c r="H40" s="10" t="s">
        <v>20</v>
      </c>
      <c r="I40" s="10">
        <v>1134</v>
      </c>
      <c r="J40" s="10">
        <v>282</v>
      </c>
      <c r="K40" s="11">
        <v>44962</v>
      </c>
      <c r="L40" s="13">
        <f>MONTH(Table1[[#This Row],[Order date ]])</f>
        <v>2</v>
      </c>
      <c r="M40" s="10" t="str">
        <f>TEXT(Table1[[#This Row],[Order date ]],"MMM")</f>
        <v>Feb</v>
      </c>
      <c r="N40" s="10" t="str">
        <f>TEXT(Table1[[#This Row],[Order date ]],"DDD")</f>
        <v>Sun</v>
      </c>
      <c r="O40" s="10" t="str">
        <f>_xlfn.CONCAT("Q",ROUNDUP(Table1[[#This Row],[Month]]/3,0))</f>
        <v>Q1</v>
      </c>
      <c r="P40" s="12">
        <f>Table1[[#This Row],[Amount]]*Table1[[#This Row],[Units]]</f>
        <v>319788</v>
      </c>
      <c r="Q40" s="13" t="str">
        <f>IF(Table1[[#This Row],[Total Sales]]&lt;AVERAGE(Table1[Total Sales]),"Low","High")</f>
        <v>Low</v>
      </c>
    </row>
    <row r="41" spans="5:17" x14ac:dyDescent="0.3">
      <c r="E41" s="10">
        <v>37</v>
      </c>
      <c r="F41" s="10" t="s">
        <v>28</v>
      </c>
      <c r="G41" s="10" t="s">
        <v>43</v>
      </c>
      <c r="H41" s="10" t="s">
        <v>21</v>
      </c>
      <c r="I41" s="10">
        <v>6027</v>
      </c>
      <c r="J41" s="10">
        <v>144</v>
      </c>
      <c r="K41" s="11">
        <v>44963</v>
      </c>
      <c r="L41" s="13">
        <f>MONTH(Table1[[#This Row],[Order date ]])</f>
        <v>2</v>
      </c>
      <c r="M41" s="10" t="str">
        <f>TEXT(Table1[[#This Row],[Order date ]],"MMM")</f>
        <v>Feb</v>
      </c>
      <c r="N41" s="10" t="str">
        <f>TEXT(Table1[[#This Row],[Order date ]],"DDD")</f>
        <v>Mon</v>
      </c>
      <c r="O41" s="10" t="str">
        <f>_xlfn.CONCAT("Q",ROUNDUP(Table1[[#This Row],[Month]]/3,0))</f>
        <v>Q1</v>
      </c>
      <c r="P41" s="12">
        <f>Table1[[#This Row],[Amount]]*Table1[[#This Row],[Units]]</f>
        <v>867888</v>
      </c>
      <c r="Q41" s="13" t="str">
        <f>IF(Table1[[#This Row],[Total Sales]]&lt;AVERAGE(Table1[Total Sales]),"Low","High")</f>
        <v>High</v>
      </c>
    </row>
    <row r="42" spans="5:17" x14ac:dyDescent="0.3">
      <c r="E42" s="10">
        <v>38</v>
      </c>
      <c r="F42" s="10" t="s">
        <v>32</v>
      </c>
      <c r="G42" s="10" t="s">
        <v>40</v>
      </c>
      <c r="H42" s="10" t="s">
        <v>9</v>
      </c>
      <c r="I42" s="10">
        <v>1904</v>
      </c>
      <c r="J42" s="10">
        <v>405</v>
      </c>
      <c r="K42" s="11">
        <v>44964</v>
      </c>
      <c r="L42" s="13">
        <f>MONTH(Table1[[#This Row],[Order date ]])</f>
        <v>2</v>
      </c>
      <c r="M42" s="10" t="str">
        <f>TEXT(Table1[[#This Row],[Order date ]],"MMM")</f>
        <v>Feb</v>
      </c>
      <c r="N42" s="10" t="str">
        <f>TEXT(Table1[[#This Row],[Order date ]],"DDD")</f>
        <v>Tue</v>
      </c>
      <c r="O42" s="10" t="str">
        <f>_xlfn.CONCAT("Q",ROUNDUP(Table1[[#This Row],[Month]]/3,0))</f>
        <v>Q1</v>
      </c>
      <c r="P42" s="12">
        <f>Table1[[#This Row],[Amount]]*Table1[[#This Row],[Units]]</f>
        <v>771120</v>
      </c>
      <c r="Q42" s="13" t="str">
        <f>IF(Table1[[#This Row],[Total Sales]]&lt;AVERAGE(Table1[Total Sales]),"Low","High")</f>
        <v>High</v>
      </c>
    </row>
    <row r="43" spans="5:17" x14ac:dyDescent="0.3">
      <c r="E43" s="10">
        <v>39</v>
      </c>
      <c r="F43" s="10" t="s">
        <v>31</v>
      </c>
      <c r="G43" s="10" t="s">
        <v>39</v>
      </c>
      <c r="H43" s="10" t="s">
        <v>25</v>
      </c>
      <c r="I43" s="10">
        <v>3262</v>
      </c>
      <c r="J43" s="10">
        <v>75</v>
      </c>
      <c r="K43" s="11">
        <v>44965</v>
      </c>
      <c r="L43" s="13">
        <f>MONTH(Table1[[#This Row],[Order date ]])</f>
        <v>2</v>
      </c>
      <c r="M43" s="10" t="str">
        <f>TEXT(Table1[[#This Row],[Order date ]],"MMM")</f>
        <v>Feb</v>
      </c>
      <c r="N43" s="10" t="str">
        <f>TEXT(Table1[[#This Row],[Order date ]],"DDD")</f>
        <v>Wed</v>
      </c>
      <c r="O43" s="10" t="str">
        <f>_xlfn.CONCAT("Q",ROUNDUP(Table1[[#This Row],[Month]]/3,0))</f>
        <v>Q1</v>
      </c>
      <c r="P43" s="12">
        <f>Table1[[#This Row],[Amount]]*Table1[[#This Row],[Units]]</f>
        <v>244650</v>
      </c>
      <c r="Q43" s="13" t="str">
        <f>IF(Table1[[#This Row],[Total Sales]]&lt;AVERAGE(Table1[Total Sales]),"Low","High")</f>
        <v>Low</v>
      </c>
    </row>
    <row r="44" spans="5:17" x14ac:dyDescent="0.3">
      <c r="E44" s="10">
        <v>40</v>
      </c>
      <c r="F44" s="10" t="s">
        <v>36</v>
      </c>
      <c r="G44" s="10" t="s">
        <v>39</v>
      </c>
      <c r="H44" s="10" t="s">
        <v>20</v>
      </c>
      <c r="I44" s="10">
        <v>2289</v>
      </c>
      <c r="J44" s="10">
        <v>135</v>
      </c>
      <c r="K44" s="11">
        <v>44966</v>
      </c>
      <c r="L44" s="13">
        <f>MONTH(Table1[[#This Row],[Order date ]])</f>
        <v>2</v>
      </c>
      <c r="M44" s="10" t="str">
        <f>TEXT(Table1[[#This Row],[Order date ]],"MMM")</f>
        <v>Feb</v>
      </c>
      <c r="N44" s="10" t="str">
        <f>TEXT(Table1[[#This Row],[Order date ]],"DDD")</f>
        <v>Thu</v>
      </c>
      <c r="O44" s="10" t="str">
        <f>_xlfn.CONCAT("Q",ROUNDUP(Table1[[#This Row],[Month]]/3,0))</f>
        <v>Q1</v>
      </c>
      <c r="P44" s="12">
        <f>Table1[[#This Row],[Amount]]*Table1[[#This Row],[Units]]</f>
        <v>309015</v>
      </c>
      <c r="Q44" s="13" t="str">
        <f>IF(Table1[[#This Row],[Total Sales]]&lt;AVERAGE(Table1[Total Sales]),"Low","High")</f>
        <v>Low</v>
      </c>
    </row>
    <row r="45" spans="5:17" x14ac:dyDescent="0.3">
      <c r="E45" s="10">
        <v>41</v>
      </c>
      <c r="F45" s="10" t="s">
        <v>33</v>
      </c>
      <c r="G45" s="10" t="s">
        <v>39</v>
      </c>
      <c r="H45" s="10" t="s">
        <v>20</v>
      </c>
      <c r="I45" s="10">
        <v>6986</v>
      </c>
      <c r="J45" s="10">
        <v>21</v>
      </c>
      <c r="K45" s="11">
        <v>44967</v>
      </c>
      <c r="L45" s="13">
        <f>MONTH(Table1[[#This Row],[Order date ]])</f>
        <v>2</v>
      </c>
      <c r="M45" s="10" t="str">
        <f>TEXT(Table1[[#This Row],[Order date ]],"MMM")</f>
        <v>Feb</v>
      </c>
      <c r="N45" s="10" t="str">
        <f>TEXT(Table1[[#This Row],[Order date ]],"DDD")</f>
        <v>Fri</v>
      </c>
      <c r="O45" s="10" t="str">
        <f>_xlfn.CONCAT("Q",ROUNDUP(Table1[[#This Row],[Month]]/3,0))</f>
        <v>Q1</v>
      </c>
      <c r="P45" s="12">
        <f>Table1[[#This Row],[Amount]]*Table1[[#This Row],[Units]]</f>
        <v>146706</v>
      </c>
      <c r="Q45" s="13" t="str">
        <f>IF(Table1[[#This Row],[Total Sales]]&lt;AVERAGE(Table1[Total Sales]),"Low","High")</f>
        <v>Low</v>
      </c>
    </row>
    <row r="46" spans="5:17" x14ac:dyDescent="0.3">
      <c r="E46" s="10">
        <v>42</v>
      </c>
      <c r="F46" s="10" t="s">
        <v>28</v>
      </c>
      <c r="G46" s="10" t="s">
        <v>37</v>
      </c>
      <c r="H46" s="10" t="s">
        <v>16</v>
      </c>
      <c r="I46" s="10">
        <v>4417</v>
      </c>
      <c r="J46" s="10">
        <v>153</v>
      </c>
      <c r="K46" s="11">
        <v>44968</v>
      </c>
      <c r="L46" s="13">
        <f>MONTH(Table1[[#This Row],[Order date ]])</f>
        <v>2</v>
      </c>
      <c r="M46" s="10" t="str">
        <f>TEXT(Table1[[#This Row],[Order date ]],"MMM")</f>
        <v>Feb</v>
      </c>
      <c r="N46" s="10" t="str">
        <f>TEXT(Table1[[#This Row],[Order date ]],"DDD")</f>
        <v>Sat</v>
      </c>
      <c r="O46" s="10" t="str">
        <f>_xlfn.CONCAT("Q",ROUNDUP(Table1[[#This Row],[Month]]/3,0))</f>
        <v>Q1</v>
      </c>
      <c r="P46" s="12">
        <f>Table1[[#This Row],[Amount]]*Table1[[#This Row],[Units]]</f>
        <v>675801</v>
      </c>
      <c r="Q46" s="13" t="str">
        <f>IF(Table1[[#This Row],[Total Sales]]&lt;AVERAGE(Table1[Total Sales]),"Low","High")</f>
        <v>High</v>
      </c>
    </row>
    <row r="47" spans="5:17" x14ac:dyDescent="0.3">
      <c r="E47" s="10">
        <v>43</v>
      </c>
      <c r="F47" s="10" t="s">
        <v>32</v>
      </c>
      <c r="G47" s="10" t="s">
        <v>39</v>
      </c>
      <c r="H47" s="10" t="s">
        <v>8</v>
      </c>
      <c r="I47" s="10">
        <v>1442</v>
      </c>
      <c r="J47" s="10">
        <v>15</v>
      </c>
      <c r="K47" s="11">
        <v>44969</v>
      </c>
      <c r="L47" s="13">
        <f>MONTH(Table1[[#This Row],[Order date ]])</f>
        <v>2</v>
      </c>
      <c r="M47" s="10" t="str">
        <f>TEXT(Table1[[#This Row],[Order date ]],"MMM")</f>
        <v>Feb</v>
      </c>
      <c r="N47" s="10" t="str">
        <f>TEXT(Table1[[#This Row],[Order date ]],"DDD")</f>
        <v>Sun</v>
      </c>
      <c r="O47" s="10" t="str">
        <f>_xlfn.CONCAT("Q",ROUNDUP(Table1[[#This Row],[Month]]/3,0))</f>
        <v>Q1</v>
      </c>
      <c r="P47" s="12">
        <f>Table1[[#This Row],[Amount]]*Table1[[#This Row],[Units]]</f>
        <v>21630</v>
      </c>
      <c r="Q47" s="13" t="str">
        <f>IF(Table1[[#This Row],[Total Sales]]&lt;AVERAGE(Table1[Total Sales]),"Low","High")</f>
        <v>Low</v>
      </c>
    </row>
    <row r="48" spans="5:17" x14ac:dyDescent="0.3">
      <c r="E48" s="10">
        <v>44</v>
      </c>
      <c r="F48" s="10" t="s">
        <v>34</v>
      </c>
      <c r="G48" s="10" t="s">
        <v>45</v>
      </c>
      <c r="H48" s="10" t="s">
        <v>7</v>
      </c>
      <c r="I48" s="10">
        <v>2415</v>
      </c>
      <c r="J48" s="10">
        <v>255</v>
      </c>
      <c r="K48" s="11">
        <v>44970</v>
      </c>
      <c r="L48" s="13">
        <f>MONTH(Table1[[#This Row],[Order date ]])</f>
        <v>2</v>
      </c>
      <c r="M48" s="10" t="str">
        <f>TEXT(Table1[[#This Row],[Order date ]],"MMM")</f>
        <v>Feb</v>
      </c>
      <c r="N48" s="10" t="str">
        <f>TEXT(Table1[[#This Row],[Order date ]],"DDD")</f>
        <v>Mon</v>
      </c>
      <c r="O48" s="10" t="str">
        <f>_xlfn.CONCAT("Q",ROUNDUP(Table1[[#This Row],[Month]]/3,0))</f>
        <v>Q1</v>
      </c>
      <c r="P48" s="12">
        <f>Table1[[#This Row],[Amount]]*Table1[[#This Row],[Units]]</f>
        <v>615825</v>
      </c>
      <c r="Q48" s="13" t="str">
        <f>IF(Table1[[#This Row],[Total Sales]]&lt;AVERAGE(Table1[Total Sales]),"Low","High")</f>
        <v>Low</v>
      </c>
    </row>
    <row r="49" spans="5:17" x14ac:dyDescent="0.3">
      <c r="E49" s="10">
        <v>45</v>
      </c>
      <c r="F49" s="10" t="s">
        <v>28</v>
      </c>
      <c r="G49" s="10" t="s">
        <v>40</v>
      </c>
      <c r="H49" s="10" t="s">
        <v>12</v>
      </c>
      <c r="I49" s="10">
        <v>238</v>
      </c>
      <c r="J49" s="10">
        <v>18</v>
      </c>
      <c r="K49" s="11">
        <v>44971</v>
      </c>
      <c r="L49" s="13">
        <f>MONTH(Table1[[#This Row],[Order date ]])</f>
        <v>2</v>
      </c>
      <c r="M49" s="10" t="str">
        <f>TEXT(Table1[[#This Row],[Order date ]],"MMM")</f>
        <v>Feb</v>
      </c>
      <c r="N49" s="10" t="str">
        <f>TEXT(Table1[[#This Row],[Order date ]],"DDD")</f>
        <v>Tue</v>
      </c>
      <c r="O49" s="10" t="str">
        <f>_xlfn.CONCAT("Q",ROUNDUP(Table1[[#This Row],[Month]]/3,0))</f>
        <v>Q1</v>
      </c>
      <c r="P49" s="12">
        <f>Table1[[#This Row],[Amount]]*Table1[[#This Row],[Units]]</f>
        <v>4284</v>
      </c>
      <c r="Q49" s="13" t="str">
        <f>IF(Table1[[#This Row],[Total Sales]]&lt;AVERAGE(Table1[Total Sales]),"Low","High")</f>
        <v>Low</v>
      </c>
    </row>
    <row r="50" spans="5:17" x14ac:dyDescent="0.3">
      <c r="E50" s="10">
        <v>46</v>
      </c>
      <c r="F50" s="10" t="s">
        <v>32</v>
      </c>
      <c r="G50" s="10" t="s">
        <v>40</v>
      </c>
      <c r="H50" s="10" t="s">
        <v>16</v>
      </c>
      <c r="I50" s="10">
        <v>4949</v>
      </c>
      <c r="J50" s="10">
        <v>189</v>
      </c>
      <c r="K50" s="11">
        <v>44972</v>
      </c>
      <c r="L50" s="13">
        <f>MONTH(Table1[[#This Row],[Order date ]])</f>
        <v>2</v>
      </c>
      <c r="M50" s="10" t="str">
        <f>TEXT(Table1[[#This Row],[Order date ]],"MMM")</f>
        <v>Feb</v>
      </c>
      <c r="N50" s="10" t="str">
        <f>TEXT(Table1[[#This Row],[Order date ]],"DDD")</f>
        <v>Wed</v>
      </c>
      <c r="O50" s="10" t="str">
        <f>_xlfn.CONCAT("Q",ROUNDUP(Table1[[#This Row],[Month]]/3,0))</f>
        <v>Q1</v>
      </c>
      <c r="P50" s="12">
        <f>Table1[[#This Row],[Amount]]*Table1[[#This Row],[Units]]</f>
        <v>935361</v>
      </c>
      <c r="Q50" s="13" t="str">
        <f>IF(Table1[[#This Row],[Total Sales]]&lt;AVERAGE(Table1[Total Sales]),"Low","High")</f>
        <v>High</v>
      </c>
    </row>
    <row r="51" spans="5:17" x14ac:dyDescent="0.3">
      <c r="E51" s="10">
        <v>47</v>
      </c>
      <c r="F51" s="10" t="s">
        <v>33</v>
      </c>
      <c r="G51" s="10" t="s">
        <v>37</v>
      </c>
      <c r="H51" s="10" t="s">
        <v>25</v>
      </c>
      <c r="I51" s="10">
        <v>5075</v>
      </c>
      <c r="J51" s="10">
        <v>21</v>
      </c>
      <c r="K51" s="11">
        <v>44973</v>
      </c>
      <c r="L51" s="13">
        <f>MONTH(Table1[[#This Row],[Order date ]])</f>
        <v>2</v>
      </c>
      <c r="M51" s="10" t="str">
        <f>TEXT(Table1[[#This Row],[Order date ]],"MMM")</f>
        <v>Feb</v>
      </c>
      <c r="N51" s="10" t="str">
        <f>TEXT(Table1[[#This Row],[Order date ]],"DDD")</f>
        <v>Thu</v>
      </c>
      <c r="O51" s="10" t="str">
        <f>_xlfn.CONCAT("Q",ROUNDUP(Table1[[#This Row],[Month]]/3,0))</f>
        <v>Q1</v>
      </c>
      <c r="P51" s="12">
        <f>Table1[[#This Row],[Amount]]*Table1[[#This Row],[Units]]</f>
        <v>106575</v>
      </c>
      <c r="Q51" s="13" t="str">
        <f>IF(Table1[[#This Row],[Total Sales]]&lt;AVERAGE(Table1[Total Sales]),"Low","High")</f>
        <v>Low</v>
      </c>
    </row>
    <row r="52" spans="5:17" x14ac:dyDescent="0.3">
      <c r="E52" s="10">
        <v>48</v>
      </c>
      <c r="F52" s="10" t="s">
        <v>34</v>
      </c>
      <c r="G52" s="10" t="s">
        <v>38</v>
      </c>
      <c r="H52" s="10" t="s">
        <v>9</v>
      </c>
      <c r="I52" s="10">
        <v>9198</v>
      </c>
      <c r="J52" s="10">
        <v>36</v>
      </c>
      <c r="K52" s="11">
        <v>44974</v>
      </c>
      <c r="L52" s="13">
        <f>MONTH(Table1[[#This Row],[Order date ]])</f>
        <v>2</v>
      </c>
      <c r="M52" s="10" t="str">
        <f>TEXT(Table1[[#This Row],[Order date ]],"MMM")</f>
        <v>Feb</v>
      </c>
      <c r="N52" s="10" t="str">
        <f>TEXT(Table1[[#This Row],[Order date ]],"DDD")</f>
        <v>Fri</v>
      </c>
      <c r="O52" s="10" t="str">
        <f>_xlfn.CONCAT("Q",ROUNDUP(Table1[[#This Row],[Month]]/3,0))</f>
        <v>Q1</v>
      </c>
      <c r="P52" s="12">
        <f>Table1[[#This Row],[Amount]]*Table1[[#This Row],[Units]]</f>
        <v>331128</v>
      </c>
      <c r="Q52" s="13" t="str">
        <f>IF(Table1[[#This Row],[Total Sales]]&lt;AVERAGE(Table1[Total Sales]),"Low","High")</f>
        <v>Low</v>
      </c>
    </row>
    <row r="53" spans="5:17" x14ac:dyDescent="0.3">
      <c r="E53" s="10">
        <v>49</v>
      </c>
      <c r="F53" s="10" t="s">
        <v>32</v>
      </c>
      <c r="G53" s="10" t="s">
        <v>39</v>
      </c>
      <c r="H53" s="10" t="s">
        <v>22</v>
      </c>
      <c r="I53" s="10">
        <v>3339</v>
      </c>
      <c r="J53" s="10">
        <v>75</v>
      </c>
      <c r="K53" s="11">
        <v>44975</v>
      </c>
      <c r="L53" s="13">
        <f>MONTH(Table1[[#This Row],[Order date ]])</f>
        <v>2</v>
      </c>
      <c r="M53" s="10" t="str">
        <f>TEXT(Table1[[#This Row],[Order date ]],"MMM")</f>
        <v>Feb</v>
      </c>
      <c r="N53" s="10" t="str">
        <f>TEXT(Table1[[#This Row],[Order date ]],"DDD")</f>
        <v>Sat</v>
      </c>
      <c r="O53" s="10" t="str">
        <f>_xlfn.CONCAT("Q",ROUNDUP(Table1[[#This Row],[Month]]/3,0))</f>
        <v>Q1</v>
      </c>
      <c r="P53" s="12">
        <f>Table1[[#This Row],[Amount]]*Table1[[#This Row],[Units]]</f>
        <v>250425</v>
      </c>
      <c r="Q53" s="13" t="str">
        <f>IF(Table1[[#This Row],[Total Sales]]&lt;AVERAGE(Table1[Total Sales]),"Low","High")</f>
        <v>Low</v>
      </c>
    </row>
    <row r="54" spans="5:17" x14ac:dyDescent="0.3">
      <c r="E54" s="10">
        <v>50</v>
      </c>
      <c r="F54" s="10" t="s">
        <v>36</v>
      </c>
      <c r="G54" s="10" t="s">
        <v>39</v>
      </c>
      <c r="H54" s="10" t="s">
        <v>10</v>
      </c>
      <c r="I54" s="10">
        <v>5019</v>
      </c>
      <c r="J54" s="10">
        <v>156</v>
      </c>
      <c r="K54" s="11">
        <v>44976</v>
      </c>
      <c r="L54" s="13">
        <f>MONTH(Table1[[#This Row],[Order date ]])</f>
        <v>2</v>
      </c>
      <c r="M54" s="10" t="str">
        <f>TEXT(Table1[[#This Row],[Order date ]],"MMM")</f>
        <v>Feb</v>
      </c>
      <c r="N54" s="10" t="str">
        <f>TEXT(Table1[[#This Row],[Order date ]],"DDD")</f>
        <v>Sun</v>
      </c>
      <c r="O54" s="10" t="str">
        <f>_xlfn.CONCAT("Q",ROUNDUP(Table1[[#This Row],[Month]]/3,0))</f>
        <v>Q1</v>
      </c>
      <c r="P54" s="12">
        <f>Table1[[#This Row],[Amount]]*Table1[[#This Row],[Units]]</f>
        <v>782964</v>
      </c>
      <c r="Q54" s="13" t="str">
        <f>IF(Table1[[#This Row],[Total Sales]]&lt;AVERAGE(Table1[Total Sales]),"Low","High")</f>
        <v>High</v>
      </c>
    </row>
    <row r="55" spans="5:17" x14ac:dyDescent="0.3">
      <c r="E55" s="10">
        <v>51</v>
      </c>
      <c r="F55" s="10" t="s">
        <v>33</v>
      </c>
      <c r="G55" s="10" t="s">
        <v>38</v>
      </c>
      <c r="H55" s="10" t="s">
        <v>9</v>
      </c>
      <c r="I55" s="10">
        <v>16184</v>
      </c>
      <c r="J55" s="10">
        <v>39</v>
      </c>
      <c r="K55" s="11">
        <v>44977</v>
      </c>
      <c r="L55" s="13">
        <f>MONTH(Table1[[#This Row],[Order date ]])</f>
        <v>2</v>
      </c>
      <c r="M55" s="10" t="str">
        <f>TEXT(Table1[[#This Row],[Order date ]],"MMM")</f>
        <v>Feb</v>
      </c>
      <c r="N55" s="10" t="str">
        <f>TEXT(Table1[[#This Row],[Order date ]],"DDD")</f>
        <v>Mon</v>
      </c>
      <c r="O55" s="10" t="str">
        <f>_xlfn.CONCAT("Q",ROUNDUP(Table1[[#This Row],[Month]]/3,0))</f>
        <v>Q1</v>
      </c>
      <c r="P55" s="12">
        <f>Table1[[#This Row],[Amount]]*Table1[[#This Row],[Units]]</f>
        <v>631176</v>
      </c>
      <c r="Q55" s="13" t="str">
        <f>IF(Table1[[#This Row],[Total Sales]]&lt;AVERAGE(Table1[Total Sales]),"Low","High")</f>
        <v>Low</v>
      </c>
    </row>
    <row r="56" spans="5:17" x14ac:dyDescent="0.3">
      <c r="E56" s="10">
        <v>52</v>
      </c>
      <c r="F56" s="10" t="s">
        <v>32</v>
      </c>
      <c r="G56" s="10" t="s">
        <v>38</v>
      </c>
      <c r="H56" s="10" t="s">
        <v>14</v>
      </c>
      <c r="I56" s="10">
        <v>497</v>
      </c>
      <c r="J56" s="10">
        <v>63</v>
      </c>
      <c r="K56" s="11">
        <v>44978</v>
      </c>
      <c r="L56" s="13">
        <f>MONTH(Table1[[#This Row],[Order date ]])</f>
        <v>2</v>
      </c>
      <c r="M56" s="10" t="str">
        <f>TEXT(Table1[[#This Row],[Order date ]],"MMM")</f>
        <v>Feb</v>
      </c>
      <c r="N56" s="10" t="str">
        <f>TEXT(Table1[[#This Row],[Order date ]],"DDD")</f>
        <v>Tue</v>
      </c>
      <c r="O56" s="10" t="str">
        <f>_xlfn.CONCAT("Q",ROUNDUP(Table1[[#This Row],[Month]]/3,0))</f>
        <v>Q1</v>
      </c>
      <c r="P56" s="12">
        <f>Table1[[#This Row],[Amount]]*Table1[[#This Row],[Units]]</f>
        <v>31311</v>
      </c>
      <c r="Q56" s="13" t="str">
        <f>IF(Table1[[#This Row],[Total Sales]]&lt;AVERAGE(Table1[Total Sales]),"Low","High")</f>
        <v>Low</v>
      </c>
    </row>
    <row r="57" spans="5:17" x14ac:dyDescent="0.3">
      <c r="E57" s="10">
        <v>53</v>
      </c>
      <c r="F57" s="10" t="s">
        <v>28</v>
      </c>
      <c r="G57" s="10" t="s">
        <v>38</v>
      </c>
      <c r="H57" s="10" t="s">
        <v>22</v>
      </c>
      <c r="I57" s="10">
        <v>8211</v>
      </c>
      <c r="J57" s="10">
        <v>75</v>
      </c>
      <c r="K57" s="11">
        <v>44979</v>
      </c>
      <c r="L57" s="13">
        <f>MONTH(Table1[[#This Row],[Order date ]])</f>
        <v>2</v>
      </c>
      <c r="M57" s="10" t="str">
        <f>TEXT(Table1[[#This Row],[Order date ]],"MMM")</f>
        <v>Feb</v>
      </c>
      <c r="N57" s="10" t="str">
        <f>TEXT(Table1[[#This Row],[Order date ]],"DDD")</f>
        <v>Wed</v>
      </c>
      <c r="O57" s="10" t="str">
        <f>_xlfn.CONCAT("Q",ROUNDUP(Table1[[#This Row],[Month]]/3,0))</f>
        <v>Q1</v>
      </c>
      <c r="P57" s="12">
        <f>Table1[[#This Row],[Amount]]*Table1[[#This Row],[Units]]</f>
        <v>615825</v>
      </c>
      <c r="Q57" s="13" t="str">
        <f>IF(Table1[[#This Row],[Total Sales]]&lt;AVERAGE(Table1[Total Sales]),"Low","High")</f>
        <v>Low</v>
      </c>
    </row>
    <row r="58" spans="5:17" x14ac:dyDescent="0.3">
      <c r="E58" s="10">
        <v>54</v>
      </c>
      <c r="F58" s="10" t="s">
        <v>28</v>
      </c>
      <c r="G58" s="10" t="s">
        <v>37</v>
      </c>
      <c r="H58" s="10" t="s">
        <v>21</v>
      </c>
      <c r="I58" s="10">
        <v>6580</v>
      </c>
      <c r="J58" s="10">
        <v>183</v>
      </c>
      <c r="K58" s="11">
        <v>44980</v>
      </c>
      <c r="L58" s="13">
        <f>MONTH(Table1[[#This Row],[Order date ]])</f>
        <v>2</v>
      </c>
      <c r="M58" s="10" t="str">
        <f>TEXT(Table1[[#This Row],[Order date ]],"MMM")</f>
        <v>Feb</v>
      </c>
      <c r="N58" s="10" t="str">
        <f>TEXT(Table1[[#This Row],[Order date ]],"DDD")</f>
        <v>Thu</v>
      </c>
      <c r="O58" s="10" t="str">
        <f>_xlfn.CONCAT("Q",ROUNDUP(Table1[[#This Row],[Month]]/3,0))</f>
        <v>Q1</v>
      </c>
      <c r="P58" s="12">
        <f>Table1[[#This Row],[Amount]]*Table1[[#This Row],[Units]]</f>
        <v>1204140</v>
      </c>
      <c r="Q58" s="13" t="str">
        <f>IF(Table1[[#This Row],[Total Sales]]&lt;AVERAGE(Table1[Total Sales]),"Low","High")</f>
        <v>High</v>
      </c>
    </row>
    <row r="59" spans="5:17" x14ac:dyDescent="0.3">
      <c r="E59" s="10">
        <v>55</v>
      </c>
      <c r="F59" s="10" t="s">
        <v>30</v>
      </c>
      <c r="G59" s="10" t="s">
        <v>45</v>
      </c>
      <c r="H59" s="10" t="s">
        <v>6</v>
      </c>
      <c r="I59" s="10">
        <v>4760</v>
      </c>
      <c r="J59" s="10">
        <v>69</v>
      </c>
      <c r="K59" s="11">
        <v>44981</v>
      </c>
      <c r="L59" s="13">
        <f>MONTH(Table1[[#This Row],[Order date ]])</f>
        <v>2</v>
      </c>
      <c r="M59" s="10" t="str">
        <f>TEXT(Table1[[#This Row],[Order date ]],"MMM")</f>
        <v>Feb</v>
      </c>
      <c r="N59" s="10" t="str">
        <f>TEXT(Table1[[#This Row],[Order date ]],"DDD")</f>
        <v>Fri</v>
      </c>
      <c r="O59" s="10" t="str">
        <f>_xlfn.CONCAT("Q",ROUNDUP(Table1[[#This Row],[Month]]/3,0))</f>
        <v>Q1</v>
      </c>
      <c r="P59" s="12">
        <f>Table1[[#This Row],[Amount]]*Table1[[#This Row],[Units]]</f>
        <v>328440</v>
      </c>
      <c r="Q59" s="13" t="str">
        <f>IF(Table1[[#This Row],[Total Sales]]&lt;AVERAGE(Table1[Total Sales]),"Low","High")</f>
        <v>Low</v>
      </c>
    </row>
    <row r="60" spans="5:17" x14ac:dyDescent="0.3">
      <c r="E60" s="10">
        <v>56</v>
      </c>
      <c r="F60" s="10" t="s">
        <v>36</v>
      </c>
      <c r="G60" s="10" t="s">
        <v>38</v>
      </c>
      <c r="H60" s="10" t="s">
        <v>18</v>
      </c>
      <c r="I60" s="10">
        <v>5439</v>
      </c>
      <c r="J60" s="10">
        <v>30</v>
      </c>
      <c r="K60" s="11">
        <v>44982</v>
      </c>
      <c r="L60" s="13">
        <f>MONTH(Table1[[#This Row],[Order date ]])</f>
        <v>2</v>
      </c>
      <c r="M60" s="10" t="str">
        <f>TEXT(Table1[[#This Row],[Order date ]],"MMM")</f>
        <v>Feb</v>
      </c>
      <c r="N60" s="10" t="str">
        <f>TEXT(Table1[[#This Row],[Order date ]],"DDD")</f>
        <v>Sat</v>
      </c>
      <c r="O60" s="10" t="str">
        <f>_xlfn.CONCAT("Q",ROUNDUP(Table1[[#This Row],[Month]]/3,0))</f>
        <v>Q1</v>
      </c>
      <c r="P60" s="12">
        <f>Table1[[#This Row],[Amount]]*Table1[[#This Row],[Units]]</f>
        <v>163170</v>
      </c>
      <c r="Q60" s="13" t="str">
        <f>IF(Table1[[#This Row],[Total Sales]]&lt;AVERAGE(Table1[Total Sales]),"Low","High")</f>
        <v>Low</v>
      </c>
    </row>
    <row r="61" spans="5:17" x14ac:dyDescent="0.3">
      <c r="E61" s="10">
        <v>57</v>
      </c>
      <c r="F61" s="10" t="s">
        <v>30</v>
      </c>
      <c r="G61" s="10" t="s">
        <v>39</v>
      </c>
      <c r="H61" s="10" t="s">
        <v>10</v>
      </c>
      <c r="I61" s="10">
        <v>1463</v>
      </c>
      <c r="J61" s="10">
        <v>39</v>
      </c>
      <c r="K61" s="11">
        <v>44983</v>
      </c>
      <c r="L61" s="13">
        <f>MONTH(Table1[[#This Row],[Order date ]])</f>
        <v>2</v>
      </c>
      <c r="M61" s="10" t="str">
        <f>TEXT(Table1[[#This Row],[Order date ]],"MMM")</f>
        <v>Feb</v>
      </c>
      <c r="N61" s="10" t="str">
        <f>TEXT(Table1[[#This Row],[Order date ]],"DDD")</f>
        <v>Sun</v>
      </c>
      <c r="O61" s="10" t="str">
        <f>_xlfn.CONCAT("Q",ROUNDUP(Table1[[#This Row],[Month]]/3,0))</f>
        <v>Q1</v>
      </c>
      <c r="P61" s="12">
        <f>Table1[[#This Row],[Amount]]*Table1[[#This Row],[Units]]</f>
        <v>57057</v>
      </c>
      <c r="Q61" s="13" t="str">
        <f>IF(Table1[[#This Row],[Total Sales]]&lt;AVERAGE(Table1[Total Sales]),"Low","High")</f>
        <v>Low</v>
      </c>
    </row>
    <row r="62" spans="5:17" x14ac:dyDescent="0.3">
      <c r="E62" s="10">
        <v>58</v>
      </c>
      <c r="F62" s="10" t="s">
        <v>34</v>
      </c>
      <c r="G62" s="10" t="s">
        <v>39</v>
      </c>
      <c r="H62" s="10" t="s">
        <v>25</v>
      </c>
      <c r="I62" s="10">
        <v>7777</v>
      </c>
      <c r="J62" s="10">
        <v>504</v>
      </c>
      <c r="K62" s="11">
        <v>44984</v>
      </c>
      <c r="L62" s="13">
        <f>MONTH(Table1[[#This Row],[Order date ]])</f>
        <v>2</v>
      </c>
      <c r="M62" s="10" t="str">
        <f>TEXT(Table1[[#This Row],[Order date ]],"MMM")</f>
        <v>Feb</v>
      </c>
      <c r="N62" s="10" t="str">
        <f>TEXT(Table1[[#This Row],[Order date ]],"DDD")</f>
        <v>Mon</v>
      </c>
      <c r="O62" s="10" t="str">
        <f>_xlfn.CONCAT("Q",ROUNDUP(Table1[[#This Row],[Month]]/3,0))</f>
        <v>Q1</v>
      </c>
      <c r="P62" s="12">
        <f>Table1[[#This Row],[Amount]]*Table1[[#This Row],[Units]]</f>
        <v>3919608</v>
      </c>
      <c r="Q62" s="13" t="str">
        <f>IF(Table1[[#This Row],[Total Sales]]&lt;AVERAGE(Table1[Total Sales]),"Low","High")</f>
        <v>High</v>
      </c>
    </row>
    <row r="63" spans="5:17" x14ac:dyDescent="0.3">
      <c r="E63" s="10">
        <v>59</v>
      </c>
      <c r="F63" s="10" t="s">
        <v>3</v>
      </c>
      <c r="G63" s="10" t="s">
        <v>40</v>
      </c>
      <c r="H63" s="10" t="s">
        <v>22</v>
      </c>
      <c r="I63" s="10">
        <v>1085</v>
      </c>
      <c r="J63" s="10">
        <v>273</v>
      </c>
      <c r="K63" s="11">
        <v>44985</v>
      </c>
      <c r="L63" s="13">
        <f>MONTH(Table1[[#This Row],[Order date ]])</f>
        <v>2</v>
      </c>
      <c r="M63" s="10" t="str">
        <f>TEXT(Table1[[#This Row],[Order date ]],"MMM")</f>
        <v>Feb</v>
      </c>
      <c r="N63" s="10" t="str">
        <f>TEXT(Table1[[#This Row],[Order date ]],"DDD")</f>
        <v>Tue</v>
      </c>
      <c r="O63" s="10" t="str">
        <f>_xlfn.CONCAT("Q",ROUNDUP(Table1[[#This Row],[Month]]/3,0))</f>
        <v>Q1</v>
      </c>
      <c r="P63" s="12">
        <f>Table1[[#This Row],[Amount]]*Table1[[#This Row],[Units]]</f>
        <v>296205</v>
      </c>
      <c r="Q63" s="13" t="str">
        <f>IF(Table1[[#This Row],[Total Sales]]&lt;AVERAGE(Table1[Total Sales]),"Low","High")</f>
        <v>Low</v>
      </c>
    </row>
    <row r="64" spans="5:17" x14ac:dyDescent="0.3">
      <c r="E64" s="10">
        <v>60</v>
      </c>
      <c r="F64" s="10" t="s">
        <v>33</v>
      </c>
      <c r="G64" s="10" t="s">
        <v>40</v>
      </c>
      <c r="H64" s="10" t="s">
        <v>24</v>
      </c>
      <c r="I64" s="10">
        <v>182</v>
      </c>
      <c r="J64" s="10">
        <v>48</v>
      </c>
      <c r="K64" s="11">
        <v>44986</v>
      </c>
      <c r="L64" s="13">
        <f>MONTH(Table1[[#This Row],[Order date ]])</f>
        <v>3</v>
      </c>
      <c r="M64" s="10" t="str">
        <f>TEXT(Table1[[#This Row],[Order date ]],"MMM")</f>
        <v>Mar</v>
      </c>
      <c r="N64" s="10" t="str">
        <f>TEXT(Table1[[#This Row],[Order date ]],"DDD")</f>
        <v>Wed</v>
      </c>
      <c r="O64" s="10" t="str">
        <f>_xlfn.CONCAT("Q",ROUNDUP(Table1[[#This Row],[Month]]/3,0))</f>
        <v>Q1</v>
      </c>
      <c r="P64" s="12">
        <f>Table1[[#This Row],[Amount]]*Table1[[#This Row],[Units]]</f>
        <v>8736</v>
      </c>
      <c r="Q64" s="13" t="str">
        <f>IF(Table1[[#This Row],[Total Sales]]&lt;AVERAGE(Table1[Total Sales]),"Low","High")</f>
        <v>Low</v>
      </c>
    </row>
    <row r="65" spans="5:17" x14ac:dyDescent="0.3">
      <c r="E65" s="10">
        <v>61</v>
      </c>
      <c r="F65" s="10" t="s">
        <v>32</v>
      </c>
      <c r="G65" s="10" t="s">
        <v>39</v>
      </c>
      <c r="H65" s="10" t="s">
        <v>20</v>
      </c>
      <c r="I65" s="10">
        <v>4242</v>
      </c>
      <c r="J65" s="10">
        <v>207</v>
      </c>
      <c r="K65" s="11">
        <v>44987</v>
      </c>
      <c r="L65" s="13">
        <f>MONTH(Table1[[#This Row],[Order date ]])</f>
        <v>3</v>
      </c>
      <c r="M65" s="10" t="str">
        <f>TEXT(Table1[[#This Row],[Order date ]],"MMM")</f>
        <v>Mar</v>
      </c>
      <c r="N65" s="10" t="str">
        <f>TEXT(Table1[[#This Row],[Order date ]],"DDD")</f>
        <v>Thu</v>
      </c>
      <c r="O65" s="10" t="str">
        <f>_xlfn.CONCAT("Q",ROUNDUP(Table1[[#This Row],[Month]]/3,0))</f>
        <v>Q1</v>
      </c>
      <c r="P65" s="12">
        <f>Table1[[#This Row],[Amount]]*Table1[[#This Row],[Units]]</f>
        <v>878094</v>
      </c>
      <c r="Q65" s="13" t="str">
        <f>IF(Table1[[#This Row],[Total Sales]]&lt;AVERAGE(Table1[Total Sales]),"Low","High")</f>
        <v>High</v>
      </c>
    </row>
    <row r="66" spans="5:17" x14ac:dyDescent="0.3">
      <c r="E66" s="10">
        <v>62</v>
      </c>
      <c r="F66" s="10" t="s">
        <v>32</v>
      </c>
      <c r="G66" s="10" t="s">
        <v>38</v>
      </c>
      <c r="H66" s="10" t="s">
        <v>25</v>
      </c>
      <c r="I66" s="10">
        <v>6118</v>
      </c>
      <c r="J66" s="10">
        <v>9</v>
      </c>
      <c r="K66" s="11">
        <v>44988</v>
      </c>
      <c r="L66" s="13">
        <f>MONTH(Table1[[#This Row],[Order date ]])</f>
        <v>3</v>
      </c>
      <c r="M66" s="10" t="str">
        <f>TEXT(Table1[[#This Row],[Order date ]],"MMM")</f>
        <v>Mar</v>
      </c>
      <c r="N66" s="10" t="str">
        <f>TEXT(Table1[[#This Row],[Order date ]],"DDD")</f>
        <v>Fri</v>
      </c>
      <c r="O66" s="10" t="str">
        <f>_xlfn.CONCAT("Q",ROUNDUP(Table1[[#This Row],[Month]]/3,0))</f>
        <v>Q1</v>
      </c>
      <c r="P66" s="12">
        <f>Table1[[#This Row],[Amount]]*Table1[[#This Row],[Units]]</f>
        <v>55062</v>
      </c>
      <c r="Q66" s="13" t="str">
        <f>IF(Table1[[#This Row],[Total Sales]]&lt;AVERAGE(Table1[Total Sales]),"Low","High")</f>
        <v>Low</v>
      </c>
    </row>
    <row r="67" spans="5:17" x14ac:dyDescent="0.3">
      <c r="E67" s="10">
        <v>63</v>
      </c>
      <c r="F67" s="10" t="s">
        <v>35</v>
      </c>
      <c r="G67" s="10" t="s">
        <v>38</v>
      </c>
      <c r="H67" s="10" t="s">
        <v>16</v>
      </c>
      <c r="I67" s="10">
        <v>2317</v>
      </c>
      <c r="J67" s="10">
        <v>261</v>
      </c>
      <c r="K67" s="11">
        <v>44989</v>
      </c>
      <c r="L67" s="13">
        <f>MONTH(Table1[[#This Row],[Order date ]])</f>
        <v>3</v>
      </c>
      <c r="M67" s="10" t="str">
        <f>TEXT(Table1[[#This Row],[Order date ]],"MMM")</f>
        <v>Mar</v>
      </c>
      <c r="N67" s="10" t="str">
        <f>TEXT(Table1[[#This Row],[Order date ]],"DDD")</f>
        <v>Sat</v>
      </c>
      <c r="O67" s="10" t="str">
        <f>_xlfn.CONCAT("Q",ROUNDUP(Table1[[#This Row],[Month]]/3,0))</f>
        <v>Q1</v>
      </c>
      <c r="P67" s="12">
        <f>Table1[[#This Row],[Amount]]*Table1[[#This Row],[Units]]</f>
        <v>604737</v>
      </c>
      <c r="Q67" s="13" t="str">
        <f>IF(Table1[[#This Row],[Total Sales]]&lt;AVERAGE(Table1[Total Sales]),"Low","High")</f>
        <v>Low</v>
      </c>
    </row>
    <row r="68" spans="5:17" x14ac:dyDescent="0.3">
      <c r="E68" s="10">
        <v>64</v>
      </c>
      <c r="F68" s="10" t="s">
        <v>32</v>
      </c>
      <c r="G68" s="10" t="s">
        <v>37</v>
      </c>
      <c r="H68" s="10" t="s">
        <v>9</v>
      </c>
      <c r="I68" s="10">
        <v>938</v>
      </c>
      <c r="J68" s="10">
        <v>6</v>
      </c>
      <c r="K68" s="11">
        <v>44990</v>
      </c>
      <c r="L68" s="13">
        <f>MONTH(Table1[[#This Row],[Order date ]])</f>
        <v>3</v>
      </c>
      <c r="M68" s="10" t="str">
        <f>TEXT(Table1[[#This Row],[Order date ]],"MMM")</f>
        <v>Mar</v>
      </c>
      <c r="N68" s="10" t="str">
        <f>TEXT(Table1[[#This Row],[Order date ]],"DDD")</f>
        <v>Sun</v>
      </c>
      <c r="O68" s="10" t="str">
        <f>_xlfn.CONCAT("Q",ROUNDUP(Table1[[#This Row],[Month]]/3,0))</f>
        <v>Q1</v>
      </c>
      <c r="P68" s="12">
        <f>Table1[[#This Row],[Amount]]*Table1[[#This Row],[Units]]</f>
        <v>5628</v>
      </c>
      <c r="Q68" s="13" t="str">
        <f>IF(Table1[[#This Row],[Total Sales]]&lt;AVERAGE(Table1[Total Sales]),"Low","High")</f>
        <v>Low</v>
      </c>
    </row>
    <row r="69" spans="5:17" x14ac:dyDescent="0.3">
      <c r="E69" s="10">
        <v>65</v>
      </c>
      <c r="F69" s="10" t="s">
        <v>29</v>
      </c>
      <c r="G69" s="10" t="s">
        <v>40</v>
      </c>
      <c r="H69" s="10" t="s">
        <v>8</v>
      </c>
      <c r="I69" s="10">
        <v>9709</v>
      </c>
      <c r="J69" s="10">
        <v>30</v>
      </c>
      <c r="K69" s="11">
        <v>44991</v>
      </c>
      <c r="L69" s="13">
        <f>MONTH(Table1[[#This Row],[Order date ]])</f>
        <v>3</v>
      </c>
      <c r="M69" s="10" t="str">
        <f>TEXT(Table1[[#This Row],[Order date ]],"MMM")</f>
        <v>Mar</v>
      </c>
      <c r="N69" s="10" t="str">
        <f>TEXT(Table1[[#This Row],[Order date ]],"DDD")</f>
        <v>Mon</v>
      </c>
      <c r="O69" s="10" t="str">
        <f>_xlfn.CONCAT("Q",ROUNDUP(Table1[[#This Row],[Month]]/3,0))</f>
        <v>Q1</v>
      </c>
      <c r="P69" s="12">
        <f>Table1[[#This Row],[Amount]]*Table1[[#This Row],[Units]]</f>
        <v>291270</v>
      </c>
      <c r="Q69" s="13" t="str">
        <f>IF(Table1[[#This Row],[Total Sales]]&lt;AVERAGE(Table1[Total Sales]),"Low","High")</f>
        <v>Low</v>
      </c>
    </row>
    <row r="70" spans="5:17" x14ac:dyDescent="0.3">
      <c r="E70" s="10">
        <v>66</v>
      </c>
      <c r="F70" s="10" t="s">
        <v>31</v>
      </c>
      <c r="G70" s="10" t="s">
        <v>39</v>
      </c>
      <c r="H70" s="10" t="s">
        <v>13</v>
      </c>
      <c r="I70" s="10">
        <v>2205</v>
      </c>
      <c r="J70" s="10">
        <v>138</v>
      </c>
      <c r="K70" s="11">
        <v>44992</v>
      </c>
      <c r="L70" s="13">
        <f>MONTH(Table1[[#This Row],[Order date ]])</f>
        <v>3</v>
      </c>
      <c r="M70" s="10" t="str">
        <f>TEXT(Table1[[#This Row],[Order date ]],"MMM")</f>
        <v>Mar</v>
      </c>
      <c r="N70" s="10" t="str">
        <f>TEXT(Table1[[#This Row],[Order date ]],"DDD")</f>
        <v>Tue</v>
      </c>
      <c r="O70" s="10" t="str">
        <f>_xlfn.CONCAT("Q",ROUNDUP(Table1[[#This Row],[Month]]/3,0))</f>
        <v>Q1</v>
      </c>
      <c r="P70" s="12">
        <f>Table1[[#This Row],[Amount]]*Table1[[#This Row],[Units]]</f>
        <v>304290</v>
      </c>
      <c r="Q70" s="13" t="str">
        <f>IF(Table1[[#This Row],[Total Sales]]&lt;AVERAGE(Table1[Total Sales]),"Low","High")</f>
        <v>Low</v>
      </c>
    </row>
    <row r="71" spans="5:17" x14ac:dyDescent="0.3">
      <c r="E71" s="10">
        <v>67</v>
      </c>
      <c r="F71" s="10" t="s">
        <v>31</v>
      </c>
      <c r="G71" s="10" t="s">
        <v>40</v>
      </c>
      <c r="H71" s="10" t="s">
        <v>10</v>
      </c>
      <c r="I71" s="10">
        <v>4487</v>
      </c>
      <c r="J71" s="10">
        <v>111</v>
      </c>
      <c r="K71" s="11">
        <v>44993</v>
      </c>
      <c r="L71" s="13">
        <f>MONTH(Table1[[#This Row],[Order date ]])</f>
        <v>3</v>
      </c>
      <c r="M71" s="10" t="str">
        <f>TEXT(Table1[[#This Row],[Order date ]],"MMM")</f>
        <v>Mar</v>
      </c>
      <c r="N71" s="10" t="str">
        <f>TEXT(Table1[[#This Row],[Order date ]],"DDD")</f>
        <v>Wed</v>
      </c>
      <c r="O71" s="10" t="str">
        <f>_xlfn.CONCAT("Q",ROUNDUP(Table1[[#This Row],[Month]]/3,0))</f>
        <v>Q1</v>
      </c>
      <c r="P71" s="12">
        <f>Table1[[#This Row],[Amount]]*Table1[[#This Row],[Units]]</f>
        <v>498057</v>
      </c>
      <c r="Q71" s="13" t="str">
        <f>IF(Table1[[#This Row],[Total Sales]]&lt;AVERAGE(Table1[Total Sales]),"Low","High")</f>
        <v>Low</v>
      </c>
    </row>
    <row r="72" spans="5:17" x14ac:dyDescent="0.3">
      <c r="E72" s="10">
        <v>68</v>
      </c>
      <c r="F72" s="10" t="s">
        <v>33</v>
      </c>
      <c r="G72" s="10" t="s">
        <v>45</v>
      </c>
      <c r="H72" s="10" t="s">
        <v>11</v>
      </c>
      <c r="I72" s="10">
        <v>2415</v>
      </c>
      <c r="J72" s="10">
        <v>15</v>
      </c>
      <c r="K72" s="11">
        <v>44994</v>
      </c>
      <c r="L72" s="13">
        <f>MONTH(Table1[[#This Row],[Order date ]])</f>
        <v>3</v>
      </c>
      <c r="M72" s="10" t="str">
        <f>TEXT(Table1[[#This Row],[Order date ]],"MMM")</f>
        <v>Mar</v>
      </c>
      <c r="N72" s="10" t="str">
        <f>TEXT(Table1[[#This Row],[Order date ]],"DDD")</f>
        <v>Thu</v>
      </c>
      <c r="O72" s="10" t="str">
        <f>_xlfn.CONCAT("Q",ROUNDUP(Table1[[#This Row],[Month]]/3,0))</f>
        <v>Q1</v>
      </c>
      <c r="P72" s="12">
        <f>Table1[[#This Row],[Amount]]*Table1[[#This Row],[Units]]</f>
        <v>36225</v>
      </c>
      <c r="Q72" s="13" t="str">
        <f>IF(Table1[[#This Row],[Total Sales]]&lt;AVERAGE(Table1[Total Sales]),"Low","High")</f>
        <v>Low</v>
      </c>
    </row>
    <row r="73" spans="5:17" x14ac:dyDescent="0.3">
      <c r="E73" s="10">
        <v>69</v>
      </c>
      <c r="F73" s="10" t="s">
        <v>36</v>
      </c>
      <c r="G73" s="10" t="s">
        <v>39</v>
      </c>
      <c r="H73" s="10" t="s">
        <v>12</v>
      </c>
      <c r="I73" s="10">
        <v>4018</v>
      </c>
      <c r="J73" s="10">
        <v>162</v>
      </c>
      <c r="K73" s="11">
        <v>44995</v>
      </c>
      <c r="L73" s="13">
        <f>MONTH(Table1[[#This Row],[Order date ]])</f>
        <v>3</v>
      </c>
      <c r="M73" s="10" t="str">
        <f>TEXT(Table1[[#This Row],[Order date ]],"MMM")</f>
        <v>Mar</v>
      </c>
      <c r="N73" s="10" t="str">
        <f>TEXT(Table1[[#This Row],[Order date ]],"DDD")</f>
        <v>Fri</v>
      </c>
      <c r="O73" s="10" t="str">
        <f>_xlfn.CONCAT("Q",ROUNDUP(Table1[[#This Row],[Month]]/3,0))</f>
        <v>Q1</v>
      </c>
      <c r="P73" s="12">
        <f>Table1[[#This Row],[Amount]]*Table1[[#This Row],[Units]]</f>
        <v>650916</v>
      </c>
      <c r="Q73" s="13" t="str">
        <f>IF(Table1[[#This Row],[Total Sales]]&lt;AVERAGE(Table1[Total Sales]),"Low","High")</f>
        <v>High</v>
      </c>
    </row>
    <row r="74" spans="5:17" x14ac:dyDescent="0.3">
      <c r="E74" s="10">
        <v>70</v>
      </c>
      <c r="F74" s="10" t="s">
        <v>33</v>
      </c>
      <c r="G74" s="10" t="s">
        <v>39</v>
      </c>
      <c r="H74" s="10" t="s">
        <v>12</v>
      </c>
      <c r="I74" s="10">
        <v>861</v>
      </c>
      <c r="J74" s="10">
        <v>195</v>
      </c>
      <c r="K74" s="11">
        <v>44996</v>
      </c>
      <c r="L74" s="13">
        <f>MONTH(Table1[[#This Row],[Order date ]])</f>
        <v>3</v>
      </c>
      <c r="M74" s="10" t="str">
        <f>TEXT(Table1[[#This Row],[Order date ]],"MMM")</f>
        <v>Mar</v>
      </c>
      <c r="N74" s="10" t="str">
        <f>TEXT(Table1[[#This Row],[Order date ]],"DDD")</f>
        <v>Sat</v>
      </c>
      <c r="O74" s="10" t="str">
        <f>_xlfn.CONCAT("Q",ROUNDUP(Table1[[#This Row],[Month]]/3,0))</f>
        <v>Q1</v>
      </c>
      <c r="P74" s="12">
        <f>Table1[[#This Row],[Amount]]*Table1[[#This Row],[Units]]</f>
        <v>167895</v>
      </c>
      <c r="Q74" s="13" t="str">
        <f>IF(Table1[[#This Row],[Total Sales]]&lt;AVERAGE(Table1[Total Sales]),"Low","High")</f>
        <v>Low</v>
      </c>
    </row>
    <row r="75" spans="5:17" x14ac:dyDescent="0.3">
      <c r="E75" s="10">
        <v>71</v>
      </c>
      <c r="F75" s="10" t="s">
        <v>35</v>
      </c>
      <c r="G75" s="10" t="s">
        <v>37</v>
      </c>
      <c r="H75" s="10" t="s">
        <v>7</v>
      </c>
      <c r="I75" s="10">
        <v>5586</v>
      </c>
      <c r="J75" s="10">
        <v>525</v>
      </c>
      <c r="K75" s="11">
        <v>44997</v>
      </c>
      <c r="L75" s="13">
        <f>MONTH(Table1[[#This Row],[Order date ]])</f>
        <v>3</v>
      </c>
      <c r="M75" s="10" t="str">
        <f>TEXT(Table1[[#This Row],[Order date ]],"MMM")</f>
        <v>Mar</v>
      </c>
      <c r="N75" s="10" t="str">
        <f>TEXT(Table1[[#This Row],[Order date ]],"DDD")</f>
        <v>Sun</v>
      </c>
      <c r="O75" s="10" t="str">
        <f>_xlfn.CONCAT("Q",ROUNDUP(Table1[[#This Row],[Month]]/3,0))</f>
        <v>Q1</v>
      </c>
      <c r="P75" s="12">
        <f>Table1[[#This Row],[Amount]]*Table1[[#This Row],[Units]]</f>
        <v>2932650</v>
      </c>
      <c r="Q75" s="13" t="str">
        <f>IF(Table1[[#This Row],[Total Sales]]&lt;AVERAGE(Table1[Total Sales]),"Low","High")</f>
        <v>High</v>
      </c>
    </row>
    <row r="76" spans="5:17" x14ac:dyDescent="0.3">
      <c r="E76" s="10">
        <v>72</v>
      </c>
      <c r="F76" s="10" t="s">
        <v>31</v>
      </c>
      <c r="G76" s="10" t="s">
        <v>39</v>
      </c>
      <c r="H76" s="10" t="s">
        <v>26</v>
      </c>
      <c r="I76" s="10">
        <v>2226</v>
      </c>
      <c r="J76" s="10">
        <v>48</v>
      </c>
      <c r="K76" s="11">
        <v>44998</v>
      </c>
      <c r="L76" s="13">
        <f>MONTH(Table1[[#This Row],[Order date ]])</f>
        <v>3</v>
      </c>
      <c r="M76" s="10" t="str">
        <f>TEXT(Table1[[#This Row],[Order date ]],"MMM")</f>
        <v>Mar</v>
      </c>
      <c r="N76" s="10" t="str">
        <f>TEXT(Table1[[#This Row],[Order date ]],"DDD")</f>
        <v>Mon</v>
      </c>
      <c r="O76" s="10" t="str">
        <f>_xlfn.CONCAT("Q",ROUNDUP(Table1[[#This Row],[Month]]/3,0))</f>
        <v>Q1</v>
      </c>
      <c r="P76" s="12">
        <f>Table1[[#This Row],[Amount]]*Table1[[#This Row],[Units]]</f>
        <v>106848</v>
      </c>
      <c r="Q76" s="13" t="str">
        <f>IF(Table1[[#This Row],[Total Sales]]&lt;AVERAGE(Table1[Total Sales]),"Low","High")</f>
        <v>Low</v>
      </c>
    </row>
    <row r="77" spans="5:17" x14ac:dyDescent="0.3">
      <c r="E77" s="10">
        <v>73</v>
      </c>
      <c r="F77" s="10" t="s">
        <v>3</v>
      </c>
      <c r="G77" s="10" t="s">
        <v>39</v>
      </c>
      <c r="H77" s="10" t="s">
        <v>21</v>
      </c>
      <c r="I77" s="10">
        <v>14329</v>
      </c>
      <c r="J77" s="10">
        <v>150</v>
      </c>
      <c r="K77" s="11">
        <v>44999</v>
      </c>
      <c r="L77" s="13">
        <f>MONTH(Table1[[#This Row],[Order date ]])</f>
        <v>3</v>
      </c>
      <c r="M77" s="10" t="str">
        <f>TEXT(Table1[[#This Row],[Order date ]],"MMM")</f>
        <v>Mar</v>
      </c>
      <c r="N77" s="10" t="str">
        <f>TEXT(Table1[[#This Row],[Order date ]],"DDD")</f>
        <v>Tue</v>
      </c>
      <c r="O77" s="10" t="str">
        <f>_xlfn.CONCAT("Q",ROUNDUP(Table1[[#This Row],[Month]]/3,0))</f>
        <v>Q1</v>
      </c>
      <c r="P77" s="12">
        <f>Table1[[#This Row],[Amount]]*Table1[[#This Row],[Units]]</f>
        <v>2149350</v>
      </c>
      <c r="Q77" s="13" t="str">
        <f>IF(Table1[[#This Row],[Total Sales]]&lt;AVERAGE(Table1[Total Sales]),"Low","High")</f>
        <v>High</v>
      </c>
    </row>
    <row r="78" spans="5:17" x14ac:dyDescent="0.3">
      <c r="E78" s="10">
        <v>74</v>
      </c>
      <c r="F78" s="10" t="s">
        <v>3</v>
      </c>
      <c r="G78" s="10" t="s">
        <v>39</v>
      </c>
      <c r="H78" s="10" t="s">
        <v>13</v>
      </c>
      <c r="I78" s="10">
        <v>8463</v>
      </c>
      <c r="J78" s="10">
        <v>492</v>
      </c>
      <c r="K78" s="11">
        <v>45000</v>
      </c>
      <c r="L78" s="13">
        <f>MONTH(Table1[[#This Row],[Order date ]])</f>
        <v>3</v>
      </c>
      <c r="M78" s="10" t="str">
        <f>TEXT(Table1[[#This Row],[Order date ]],"MMM")</f>
        <v>Mar</v>
      </c>
      <c r="N78" s="10" t="str">
        <f>TEXT(Table1[[#This Row],[Order date ]],"DDD")</f>
        <v>Wed</v>
      </c>
      <c r="O78" s="10" t="str">
        <f>_xlfn.CONCAT("Q",ROUNDUP(Table1[[#This Row],[Month]]/3,0))</f>
        <v>Q1</v>
      </c>
      <c r="P78" s="12">
        <f>Table1[[#This Row],[Amount]]*Table1[[#This Row],[Units]]</f>
        <v>4163796</v>
      </c>
      <c r="Q78" s="13" t="str">
        <f>IF(Table1[[#This Row],[Total Sales]]&lt;AVERAGE(Table1[Total Sales]),"Low","High")</f>
        <v>High</v>
      </c>
    </row>
    <row r="79" spans="5:17" x14ac:dyDescent="0.3">
      <c r="E79" s="10">
        <v>75</v>
      </c>
      <c r="F79" s="10" t="s">
        <v>33</v>
      </c>
      <c r="G79" s="10" t="s">
        <v>39</v>
      </c>
      <c r="H79" s="10" t="s">
        <v>22</v>
      </c>
      <c r="I79" s="10">
        <v>2891</v>
      </c>
      <c r="J79" s="10">
        <v>102</v>
      </c>
      <c r="K79" s="11">
        <v>45001</v>
      </c>
      <c r="L79" s="13">
        <f>MONTH(Table1[[#This Row],[Order date ]])</f>
        <v>3</v>
      </c>
      <c r="M79" s="10" t="str">
        <f>TEXT(Table1[[#This Row],[Order date ]],"MMM")</f>
        <v>Mar</v>
      </c>
      <c r="N79" s="10" t="str">
        <f>TEXT(Table1[[#This Row],[Order date ]],"DDD")</f>
        <v>Thu</v>
      </c>
      <c r="O79" s="10" t="str">
        <f>_xlfn.CONCAT("Q",ROUNDUP(Table1[[#This Row],[Month]]/3,0))</f>
        <v>Q1</v>
      </c>
      <c r="P79" s="12">
        <f>Table1[[#This Row],[Amount]]*Table1[[#This Row],[Units]]</f>
        <v>294882</v>
      </c>
      <c r="Q79" s="13" t="str">
        <f>IF(Table1[[#This Row],[Total Sales]]&lt;AVERAGE(Table1[Total Sales]),"Low","High")</f>
        <v>Low</v>
      </c>
    </row>
    <row r="80" spans="5:17" x14ac:dyDescent="0.3">
      <c r="E80" s="10">
        <v>76</v>
      </c>
      <c r="F80" s="10" t="s">
        <v>34</v>
      </c>
      <c r="G80" s="10" t="s">
        <v>38</v>
      </c>
      <c r="H80" s="10" t="s">
        <v>16</v>
      </c>
      <c r="I80" s="10">
        <v>3773</v>
      </c>
      <c r="J80" s="10">
        <v>165</v>
      </c>
      <c r="K80" s="11">
        <v>45002</v>
      </c>
      <c r="L80" s="13">
        <f>MONTH(Table1[[#This Row],[Order date ]])</f>
        <v>3</v>
      </c>
      <c r="M80" s="10" t="str">
        <f>TEXT(Table1[[#This Row],[Order date ]],"MMM")</f>
        <v>Mar</v>
      </c>
      <c r="N80" s="10" t="str">
        <f>TEXT(Table1[[#This Row],[Order date ]],"DDD")</f>
        <v>Fri</v>
      </c>
      <c r="O80" s="10" t="str">
        <f>_xlfn.CONCAT("Q",ROUNDUP(Table1[[#This Row],[Month]]/3,0))</f>
        <v>Q1</v>
      </c>
      <c r="P80" s="12">
        <f>Table1[[#This Row],[Amount]]*Table1[[#This Row],[Units]]</f>
        <v>622545</v>
      </c>
      <c r="Q80" s="13" t="str">
        <f>IF(Table1[[#This Row],[Total Sales]]&lt;AVERAGE(Table1[Total Sales]),"Low","High")</f>
        <v>Low</v>
      </c>
    </row>
    <row r="81" spans="5:17" x14ac:dyDescent="0.3">
      <c r="E81" s="10">
        <v>77</v>
      </c>
      <c r="F81" s="10" t="s">
        <v>30</v>
      </c>
      <c r="G81" s="10" t="s">
        <v>38</v>
      </c>
      <c r="H81" s="10" t="s">
        <v>21</v>
      </c>
      <c r="I81" s="10">
        <v>854</v>
      </c>
      <c r="J81" s="10">
        <v>309</v>
      </c>
      <c r="K81" s="11">
        <v>45003</v>
      </c>
      <c r="L81" s="13">
        <f>MONTH(Table1[[#This Row],[Order date ]])</f>
        <v>3</v>
      </c>
      <c r="M81" s="10" t="str">
        <f>TEXT(Table1[[#This Row],[Order date ]],"MMM")</f>
        <v>Mar</v>
      </c>
      <c r="N81" s="10" t="str">
        <f>TEXT(Table1[[#This Row],[Order date ]],"DDD")</f>
        <v>Sat</v>
      </c>
      <c r="O81" s="10" t="str">
        <f>_xlfn.CONCAT("Q",ROUNDUP(Table1[[#This Row],[Month]]/3,0))</f>
        <v>Q1</v>
      </c>
      <c r="P81" s="12">
        <f>Table1[[#This Row],[Amount]]*Table1[[#This Row],[Units]]</f>
        <v>263886</v>
      </c>
      <c r="Q81" s="13" t="str">
        <f>IF(Table1[[#This Row],[Total Sales]]&lt;AVERAGE(Table1[Total Sales]),"Low","High")</f>
        <v>Low</v>
      </c>
    </row>
    <row r="82" spans="5:17" x14ac:dyDescent="0.3">
      <c r="E82" s="10">
        <v>78</v>
      </c>
      <c r="F82" s="10" t="s">
        <v>32</v>
      </c>
      <c r="G82" s="10" t="s">
        <v>38</v>
      </c>
      <c r="H82" s="10" t="s">
        <v>10</v>
      </c>
      <c r="I82" s="10">
        <v>4970</v>
      </c>
      <c r="J82" s="10">
        <v>156</v>
      </c>
      <c r="K82" s="11">
        <v>45004</v>
      </c>
      <c r="L82" s="13">
        <f>MONTH(Table1[[#This Row],[Order date ]])</f>
        <v>3</v>
      </c>
      <c r="M82" s="10" t="str">
        <f>TEXT(Table1[[#This Row],[Order date ]],"MMM")</f>
        <v>Mar</v>
      </c>
      <c r="N82" s="10" t="str">
        <f>TEXT(Table1[[#This Row],[Order date ]],"DDD")</f>
        <v>Sun</v>
      </c>
      <c r="O82" s="10" t="str">
        <f>_xlfn.CONCAT("Q",ROUNDUP(Table1[[#This Row],[Month]]/3,0))</f>
        <v>Q1</v>
      </c>
      <c r="P82" s="12">
        <f>Table1[[#This Row],[Amount]]*Table1[[#This Row],[Units]]</f>
        <v>775320</v>
      </c>
      <c r="Q82" s="13" t="str">
        <f>IF(Table1[[#This Row],[Total Sales]]&lt;AVERAGE(Table1[Total Sales]),"Low","High")</f>
        <v>High</v>
      </c>
    </row>
    <row r="83" spans="5:17" x14ac:dyDescent="0.3">
      <c r="E83" s="10">
        <v>79</v>
      </c>
      <c r="F83" s="10" t="s">
        <v>3</v>
      </c>
      <c r="G83" s="10" t="s">
        <v>45</v>
      </c>
      <c r="H83" s="10" t="s">
        <v>19</v>
      </c>
      <c r="I83" s="10">
        <v>98</v>
      </c>
      <c r="J83" s="10">
        <v>159</v>
      </c>
      <c r="K83" s="11">
        <v>45005</v>
      </c>
      <c r="L83" s="13">
        <f>MONTH(Table1[[#This Row],[Order date ]])</f>
        <v>3</v>
      </c>
      <c r="M83" s="10" t="str">
        <f>TEXT(Table1[[#This Row],[Order date ]],"MMM")</f>
        <v>Mar</v>
      </c>
      <c r="N83" s="10" t="str">
        <f>TEXT(Table1[[#This Row],[Order date ]],"DDD")</f>
        <v>Mon</v>
      </c>
      <c r="O83" s="10" t="str">
        <f>_xlfn.CONCAT("Q",ROUNDUP(Table1[[#This Row],[Month]]/3,0))</f>
        <v>Q1</v>
      </c>
      <c r="P83" s="12">
        <f>Table1[[#This Row],[Amount]]*Table1[[#This Row],[Units]]</f>
        <v>15582</v>
      </c>
      <c r="Q83" s="13" t="str">
        <f>IF(Table1[[#This Row],[Total Sales]]&lt;AVERAGE(Table1[Total Sales]),"Low","High")</f>
        <v>Low</v>
      </c>
    </row>
    <row r="84" spans="5:17" x14ac:dyDescent="0.3">
      <c r="E84" s="10">
        <v>80</v>
      </c>
      <c r="F84" s="10" t="s">
        <v>33</v>
      </c>
      <c r="G84" s="10" t="s">
        <v>45</v>
      </c>
      <c r="H84" s="10" t="s">
        <v>8</v>
      </c>
      <c r="I84" s="10">
        <v>13391</v>
      </c>
      <c r="J84" s="10">
        <v>201</v>
      </c>
      <c r="K84" s="11">
        <v>45006</v>
      </c>
      <c r="L84" s="13">
        <f>MONTH(Table1[[#This Row],[Order date ]])</f>
        <v>3</v>
      </c>
      <c r="M84" s="10" t="str">
        <f>TEXT(Table1[[#This Row],[Order date ]],"MMM")</f>
        <v>Mar</v>
      </c>
      <c r="N84" s="10" t="str">
        <f>TEXT(Table1[[#This Row],[Order date ]],"DDD")</f>
        <v>Tue</v>
      </c>
      <c r="O84" s="10" t="str">
        <f>_xlfn.CONCAT("Q",ROUNDUP(Table1[[#This Row],[Month]]/3,0))</f>
        <v>Q1</v>
      </c>
      <c r="P84" s="12">
        <f>Table1[[#This Row],[Amount]]*Table1[[#This Row],[Units]]</f>
        <v>2691591</v>
      </c>
      <c r="Q84" s="13" t="str">
        <f>IF(Table1[[#This Row],[Total Sales]]&lt;AVERAGE(Table1[Total Sales]),"Low","High")</f>
        <v>High</v>
      </c>
    </row>
    <row r="85" spans="5:17" x14ac:dyDescent="0.3">
      <c r="E85" s="10">
        <v>81</v>
      </c>
      <c r="F85" s="10" t="s">
        <v>29</v>
      </c>
      <c r="G85" s="10" t="s">
        <v>43</v>
      </c>
      <c r="H85" s="10" t="s">
        <v>24</v>
      </c>
      <c r="I85" s="10">
        <v>8890</v>
      </c>
      <c r="J85" s="10">
        <v>210</v>
      </c>
      <c r="K85" s="11">
        <v>45007</v>
      </c>
      <c r="L85" s="13">
        <f>MONTH(Table1[[#This Row],[Order date ]])</f>
        <v>3</v>
      </c>
      <c r="M85" s="10" t="str">
        <f>TEXT(Table1[[#This Row],[Order date ]],"MMM")</f>
        <v>Mar</v>
      </c>
      <c r="N85" s="10" t="str">
        <f>TEXT(Table1[[#This Row],[Order date ]],"DDD")</f>
        <v>Wed</v>
      </c>
      <c r="O85" s="10" t="str">
        <f>_xlfn.CONCAT("Q",ROUNDUP(Table1[[#This Row],[Month]]/3,0))</f>
        <v>Q1</v>
      </c>
      <c r="P85" s="12">
        <f>Table1[[#This Row],[Amount]]*Table1[[#This Row],[Units]]</f>
        <v>1866900</v>
      </c>
      <c r="Q85" s="13" t="str">
        <f>IF(Table1[[#This Row],[Total Sales]]&lt;AVERAGE(Table1[Total Sales]),"Low","High")</f>
        <v>High</v>
      </c>
    </row>
    <row r="86" spans="5:17" x14ac:dyDescent="0.3">
      <c r="E86" s="10">
        <v>82</v>
      </c>
      <c r="F86" s="10" t="s">
        <v>28</v>
      </c>
      <c r="G86" s="10" t="s">
        <v>37</v>
      </c>
      <c r="H86" s="10" t="s">
        <v>6</v>
      </c>
      <c r="I86" s="10">
        <v>56</v>
      </c>
      <c r="J86" s="10">
        <v>51</v>
      </c>
      <c r="K86" s="11">
        <v>45008</v>
      </c>
      <c r="L86" s="13">
        <f>MONTH(Table1[[#This Row],[Order date ]])</f>
        <v>3</v>
      </c>
      <c r="M86" s="10" t="str">
        <f>TEXT(Table1[[#This Row],[Order date ]],"MMM")</f>
        <v>Mar</v>
      </c>
      <c r="N86" s="10" t="str">
        <f>TEXT(Table1[[#This Row],[Order date ]],"DDD")</f>
        <v>Thu</v>
      </c>
      <c r="O86" s="10" t="str">
        <f>_xlfn.CONCAT("Q",ROUNDUP(Table1[[#This Row],[Month]]/3,0))</f>
        <v>Q1</v>
      </c>
      <c r="P86" s="12">
        <f>Table1[[#This Row],[Amount]]*Table1[[#This Row],[Units]]</f>
        <v>2856</v>
      </c>
      <c r="Q86" s="13" t="str">
        <f>IF(Table1[[#This Row],[Total Sales]]&lt;AVERAGE(Table1[Total Sales]),"Low","High")</f>
        <v>Low</v>
      </c>
    </row>
    <row r="87" spans="5:17" x14ac:dyDescent="0.3">
      <c r="E87" s="10">
        <v>83</v>
      </c>
      <c r="F87" s="10" t="s">
        <v>34</v>
      </c>
      <c r="G87" s="10" t="s">
        <v>38</v>
      </c>
      <c r="H87" s="10" t="s">
        <v>18</v>
      </c>
      <c r="I87" s="10">
        <v>3339</v>
      </c>
      <c r="J87" s="10">
        <v>39</v>
      </c>
      <c r="K87" s="11">
        <v>45009</v>
      </c>
      <c r="L87" s="13">
        <f>MONTH(Table1[[#This Row],[Order date ]])</f>
        <v>3</v>
      </c>
      <c r="M87" s="10" t="str">
        <f>TEXT(Table1[[#This Row],[Order date ]],"MMM")</f>
        <v>Mar</v>
      </c>
      <c r="N87" s="10" t="str">
        <f>TEXT(Table1[[#This Row],[Order date ]],"DDD")</f>
        <v>Fri</v>
      </c>
      <c r="O87" s="10" t="str">
        <f>_xlfn.CONCAT("Q",ROUNDUP(Table1[[#This Row],[Month]]/3,0))</f>
        <v>Q1</v>
      </c>
      <c r="P87" s="12">
        <f>Table1[[#This Row],[Amount]]*Table1[[#This Row],[Units]]</f>
        <v>130221</v>
      </c>
      <c r="Q87" s="13" t="str">
        <f>IF(Table1[[#This Row],[Total Sales]]&lt;AVERAGE(Table1[Total Sales]),"Low","High")</f>
        <v>Low</v>
      </c>
    </row>
    <row r="88" spans="5:17" x14ac:dyDescent="0.3">
      <c r="E88" s="10">
        <v>84</v>
      </c>
      <c r="F88" s="10" t="s">
        <v>35</v>
      </c>
      <c r="G88" s="10" t="s">
        <v>45</v>
      </c>
      <c r="H88" s="10" t="s">
        <v>11</v>
      </c>
      <c r="I88" s="10">
        <v>3808</v>
      </c>
      <c r="J88" s="10">
        <v>279</v>
      </c>
      <c r="K88" s="11">
        <v>45010</v>
      </c>
      <c r="L88" s="13">
        <f>MONTH(Table1[[#This Row],[Order date ]])</f>
        <v>3</v>
      </c>
      <c r="M88" s="10" t="str">
        <f>TEXT(Table1[[#This Row],[Order date ]],"MMM")</f>
        <v>Mar</v>
      </c>
      <c r="N88" s="10" t="str">
        <f>TEXT(Table1[[#This Row],[Order date ]],"DDD")</f>
        <v>Sat</v>
      </c>
      <c r="O88" s="10" t="str">
        <f>_xlfn.CONCAT("Q",ROUNDUP(Table1[[#This Row],[Month]]/3,0))</f>
        <v>Q1</v>
      </c>
      <c r="P88" s="12">
        <f>Table1[[#This Row],[Amount]]*Table1[[#This Row],[Units]]</f>
        <v>1062432</v>
      </c>
      <c r="Q88" s="13" t="str">
        <f>IF(Table1[[#This Row],[Total Sales]]&lt;AVERAGE(Table1[Total Sales]),"Low","High")</f>
        <v>High</v>
      </c>
    </row>
    <row r="89" spans="5:17" x14ac:dyDescent="0.3">
      <c r="E89" s="10">
        <v>85</v>
      </c>
      <c r="F89" s="10" t="s">
        <v>35</v>
      </c>
      <c r="G89" s="10" t="s">
        <v>37</v>
      </c>
      <c r="H89" s="10" t="s">
        <v>6</v>
      </c>
      <c r="I89" s="10">
        <v>63</v>
      </c>
      <c r="J89" s="10">
        <v>123</v>
      </c>
      <c r="K89" s="11">
        <v>45011</v>
      </c>
      <c r="L89" s="13">
        <f>MONTH(Table1[[#This Row],[Order date ]])</f>
        <v>3</v>
      </c>
      <c r="M89" s="10" t="str">
        <f>TEXT(Table1[[#This Row],[Order date ]],"MMM")</f>
        <v>Mar</v>
      </c>
      <c r="N89" s="10" t="str">
        <f>TEXT(Table1[[#This Row],[Order date ]],"DDD")</f>
        <v>Sun</v>
      </c>
      <c r="O89" s="10" t="str">
        <f>_xlfn.CONCAT("Q",ROUNDUP(Table1[[#This Row],[Month]]/3,0))</f>
        <v>Q1</v>
      </c>
      <c r="P89" s="12">
        <f>Table1[[#This Row],[Amount]]*Table1[[#This Row],[Units]]</f>
        <v>7749</v>
      </c>
      <c r="Q89" s="13" t="str">
        <f>IF(Table1[[#This Row],[Total Sales]]&lt;AVERAGE(Table1[Total Sales]),"Low","High")</f>
        <v>Low</v>
      </c>
    </row>
    <row r="90" spans="5:17" x14ac:dyDescent="0.3">
      <c r="E90" s="10">
        <v>86</v>
      </c>
      <c r="F90" s="10" t="s">
        <v>28</v>
      </c>
      <c r="G90" s="10" t="s">
        <v>43</v>
      </c>
      <c r="H90" s="10" t="s">
        <v>20</v>
      </c>
      <c r="I90" s="10">
        <v>7812</v>
      </c>
      <c r="J90" s="10">
        <v>81</v>
      </c>
      <c r="K90" s="11">
        <v>45012</v>
      </c>
      <c r="L90" s="13">
        <f>MONTH(Table1[[#This Row],[Order date ]])</f>
        <v>3</v>
      </c>
      <c r="M90" s="10" t="str">
        <f>TEXT(Table1[[#This Row],[Order date ]],"MMM")</f>
        <v>Mar</v>
      </c>
      <c r="N90" s="10" t="str">
        <f>TEXT(Table1[[#This Row],[Order date ]],"DDD")</f>
        <v>Mon</v>
      </c>
      <c r="O90" s="10" t="str">
        <f>_xlfn.CONCAT("Q",ROUNDUP(Table1[[#This Row],[Month]]/3,0))</f>
        <v>Q1</v>
      </c>
      <c r="P90" s="12">
        <f>Table1[[#This Row],[Amount]]*Table1[[#This Row],[Units]]</f>
        <v>632772</v>
      </c>
      <c r="Q90" s="13" t="str">
        <f>IF(Table1[[#This Row],[Total Sales]]&lt;AVERAGE(Table1[Total Sales]),"Low","High")</f>
        <v>Low</v>
      </c>
    </row>
    <row r="91" spans="5:17" x14ac:dyDescent="0.3">
      <c r="E91" s="10">
        <v>87</v>
      </c>
      <c r="F91" s="10" t="s">
        <v>36</v>
      </c>
      <c r="G91" s="10" t="s">
        <v>40</v>
      </c>
      <c r="H91" s="10" t="s">
        <v>12</v>
      </c>
      <c r="I91" s="10">
        <v>7693</v>
      </c>
      <c r="J91" s="10">
        <v>21</v>
      </c>
      <c r="K91" s="11">
        <v>45013</v>
      </c>
      <c r="L91" s="13">
        <f>MONTH(Table1[[#This Row],[Order date ]])</f>
        <v>3</v>
      </c>
      <c r="M91" s="10" t="str">
        <f>TEXT(Table1[[#This Row],[Order date ]],"MMM")</f>
        <v>Mar</v>
      </c>
      <c r="N91" s="10" t="str">
        <f>TEXT(Table1[[#This Row],[Order date ]],"DDD")</f>
        <v>Tue</v>
      </c>
      <c r="O91" s="10" t="str">
        <f>_xlfn.CONCAT("Q",ROUNDUP(Table1[[#This Row],[Month]]/3,0))</f>
        <v>Q1</v>
      </c>
      <c r="P91" s="12">
        <f>Table1[[#This Row],[Amount]]*Table1[[#This Row],[Units]]</f>
        <v>161553</v>
      </c>
      <c r="Q91" s="13" t="str">
        <f>IF(Table1[[#This Row],[Total Sales]]&lt;AVERAGE(Table1[Total Sales]),"Low","High")</f>
        <v>Low</v>
      </c>
    </row>
    <row r="92" spans="5:17" x14ac:dyDescent="0.3">
      <c r="E92" s="10">
        <v>88</v>
      </c>
      <c r="F92" s="10" t="s">
        <v>34</v>
      </c>
      <c r="G92" s="10" t="s">
        <v>38</v>
      </c>
      <c r="H92" s="10" t="s">
        <v>21</v>
      </c>
      <c r="I92" s="10">
        <v>973</v>
      </c>
      <c r="J92" s="10">
        <v>162</v>
      </c>
      <c r="K92" s="11">
        <v>45014</v>
      </c>
      <c r="L92" s="13">
        <f>MONTH(Table1[[#This Row],[Order date ]])</f>
        <v>3</v>
      </c>
      <c r="M92" s="10" t="str">
        <f>TEXT(Table1[[#This Row],[Order date ]],"MMM")</f>
        <v>Mar</v>
      </c>
      <c r="N92" s="10" t="str">
        <f>TEXT(Table1[[#This Row],[Order date ]],"DDD")</f>
        <v>Wed</v>
      </c>
      <c r="O92" s="10" t="str">
        <f>_xlfn.CONCAT("Q",ROUNDUP(Table1[[#This Row],[Month]]/3,0))</f>
        <v>Q1</v>
      </c>
      <c r="P92" s="12">
        <f>Table1[[#This Row],[Amount]]*Table1[[#This Row],[Units]]</f>
        <v>157626</v>
      </c>
      <c r="Q92" s="13" t="str">
        <f>IF(Table1[[#This Row],[Total Sales]]&lt;AVERAGE(Table1[Total Sales]),"Low","High")</f>
        <v>Low</v>
      </c>
    </row>
    <row r="93" spans="5:17" x14ac:dyDescent="0.3">
      <c r="E93" s="10">
        <v>89</v>
      </c>
      <c r="F93" s="10" t="s">
        <v>35</v>
      </c>
      <c r="G93" s="10" t="s">
        <v>45</v>
      </c>
      <c r="H93" s="10" t="s">
        <v>14</v>
      </c>
      <c r="I93" s="10">
        <v>567</v>
      </c>
      <c r="J93" s="10">
        <v>228</v>
      </c>
      <c r="K93" s="11">
        <v>45015</v>
      </c>
      <c r="L93" s="13">
        <f>MONTH(Table1[[#This Row],[Order date ]])</f>
        <v>3</v>
      </c>
      <c r="M93" s="10" t="str">
        <f>TEXT(Table1[[#This Row],[Order date ]],"MMM")</f>
        <v>Mar</v>
      </c>
      <c r="N93" s="10" t="str">
        <f>TEXT(Table1[[#This Row],[Order date ]],"DDD")</f>
        <v>Thu</v>
      </c>
      <c r="O93" s="10" t="str">
        <f>_xlfn.CONCAT("Q",ROUNDUP(Table1[[#This Row],[Month]]/3,0))</f>
        <v>Q1</v>
      </c>
      <c r="P93" s="12">
        <f>Table1[[#This Row],[Amount]]*Table1[[#This Row],[Units]]</f>
        <v>129276</v>
      </c>
      <c r="Q93" s="13" t="str">
        <f>IF(Table1[[#This Row],[Total Sales]]&lt;AVERAGE(Table1[Total Sales]),"Low","High")</f>
        <v>Low</v>
      </c>
    </row>
    <row r="94" spans="5:17" x14ac:dyDescent="0.3">
      <c r="E94" s="10">
        <v>90</v>
      </c>
      <c r="F94" s="10" t="s">
        <v>35</v>
      </c>
      <c r="G94" s="10" t="s">
        <v>38</v>
      </c>
      <c r="H94" s="10" t="s">
        <v>22</v>
      </c>
      <c r="I94" s="10">
        <v>2471</v>
      </c>
      <c r="J94" s="10">
        <v>342</v>
      </c>
      <c r="K94" s="11">
        <v>45016</v>
      </c>
      <c r="L94" s="13">
        <f>MONTH(Table1[[#This Row],[Order date ]])</f>
        <v>3</v>
      </c>
      <c r="M94" s="10" t="str">
        <f>TEXT(Table1[[#This Row],[Order date ]],"MMM")</f>
        <v>Mar</v>
      </c>
      <c r="N94" s="10" t="str">
        <f>TEXT(Table1[[#This Row],[Order date ]],"DDD")</f>
        <v>Fri</v>
      </c>
      <c r="O94" s="10" t="str">
        <f>_xlfn.CONCAT("Q",ROUNDUP(Table1[[#This Row],[Month]]/3,0))</f>
        <v>Q1</v>
      </c>
      <c r="P94" s="12">
        <f>Table1[[#This Row],[Amount]]*Table1[[#This Row],[Units]]</f>
        <v>845082</v>
      </c>
      <c r="Q94" s="13" t="str">
        <f>IF(Table1[[#This Row],[Total Sales]]&lt;AVERAGE(Table1[Total Sales]),"Low","High")</f>
        <v>High</v>
      </c>
    </row>
    <row r="95" spans="5:17" x14ac:dyDescent="0.3">
      <c r="E95" s="10">
        <v>91</v>
      </c>
      <c r="F95" s="10" t="s">
        <v>33</v>
      </c>
      <c r="G95" s="10" t="s">
        <v>37</v>
      </c>
      <c r="H95" s="10" t="s">
        <v>6</v>
      </c>
      <c r="I95" s="10">
        <v>7189</v>
      </c>
      <c r="J95" s="10">
        <v>54</v>
      </c>
      <c r="K95" s="11">
        <v>45017</v>
      </c>
      <c r="L95" s="13">
        <f>MONTH(Table1[[#This Row],[Order date ]])</f>
        <v>4</v>
      </c>
      <c r="M95" s="10" t="str">
        <f>TEXT(Table1[[#This Row],[Order date ]],"MMM")</f>
        <v>Apr</v>
      </c>
      <c r="N95" s="10" t="str">
        <f>TEXT(Table1[[#This Row],[Order date ]],"DDD")</f>
        <v>Sat</v>
      </c>
      <c r="O95" s="10" t="str">
        <f>_xlfn.CONCAT("Q",ROUNDUP(Table1[[#This Row],[Month]]/3,0))</f>
        <v>Q2</v>
      </c>
      <c r="P95" s="12">
        <f>Table1[[#This Row],[Amount]]*Table1[[#This Row],[Units]]</f>
        <v>388206</v>
      </c>
      <c r="Q95" s="13" t="str">
        <f>IF(Table1[[#This Row],[Total Sales]]&lt;AVERAGE(Table1[Total Sales]),"Low","High")</f>
        <v>Low</v>
      </c>
    </row>
    <row r="96" spans="5:17" x14ac:dyDescent="0.3">
      <c r="E96" s="10">
        <v>92</v>
      </c>
      <c r="F96" s="10" t="s">
        <v>30</v>
      </c>
      <c r="G96" s="10" t="s">
        <v>45</v>
      </c>
      <c r="H96" s="10" t="s">
        <v>21</v>
      </c>
      <c r="I96" s="10">
        <v>7455</v>
      </c>
      <c r="J96" s="10">
        <v>216</v>
      </c>
      <c r="K96" s="11">
        <v>45018</v>
      </c>
      <c r="L96" s="13">
        <f>MONTH(Table1[[#This Row],[Order date ]])</f>
        <v>4</v>
      </c>
      <c r="M96" s="10" t="str">
        <f>TEXT(Table1[[#This Row],[Order date ]],"MMM")</f>
        <v>Apr</v>
      </c>
      <c r="N96" s="10" t="str">
        <f>TEXT(Table1[[#This Row],[Order date ]],"DDD")</f>
        <v>Sun</v>
      </c>
      <c r="O96" s="10" t="str">
        <f>_xlfn.CONCAT("Q",ROUNDUP(Table1[[#This Row],[Month]]/3,0))</f>
        <v>Q2</v>
      </c>
      <c r="P96" s="12">
        <f>Table1[[#This Row],[Amount]]*Table1[[#This Row],[Units]]</f>
        <v>1610280</v>
      </c>
      <c r="Q96" s="13" t="str">
        <f>IF(Table1[[#This Row],[Total Sales]]&lt;AVERAGE(Table1[Total Sales]),"Low","High")</f>
        <v>High</v>
      </c>
    </row>
    <row r="97" spans="5:17" x14ac:dyDescent="0.3">
      <c r="E97" s="10">
        <v>93</v>
      </c>
      <c r="F97" s="10" t="s">
        <v>34</v>
      </c>
      <c r="G97" s="10" t="s">
        <v>39</v>
      </c>
      <c r="H97" s="10" t="s">
        <v>19</v>
      </c>
      <c r="I97" s="10">
        <v>3108</v>
      </c>
      <c r="J97" s="10">
        <v>54</v>
      </c>
      <c r="K97" s="11">
        <v>45019</v>
      </c>
      <c r="L97" s="13">
        <f>MONTH(Table1[[#This Row],[Order date ]])</f>
        <v>4</v>
      </c>
      <c r="M97" s="10" t="str">
        <f>TEXT(Table1[[#This Row],[Order date ]],"MMM")</f>
        <v>Apr</v>
      </c>
      <c r="N97" s="10" t="str">
        <f>TEXT(Table1[[#This Row],[Order date ]],"DDD")</f>
        <v>Mon</v>
      </c>
      <c r="O97" s="10" t="str">
        <f>_xlfn.CONCAT("Q",ROUNDUP(Table1[[#This Row],[Month]]/3,0))</f>
        <v>Q2</v>
      </c>
      <c r="P97" s="12">
        <f>Table1[[#This Row],[Amount]]*Table1[[#This Row],[Units]]</f>
        <v>167832</v>
      </c>
      <c r="Q97" s="13" t="str">
        <f>IF(Table1[[#This Row],[Total Sales]]&lt;AVERAGE(Table1[Total Sales]),"Low","High")</f>
        <v>Low</v>
      </c>
    </row>
    <row r="98" spans="5:17" x14ac:dyDescent="0.3">
      <c r="E98" s="10">
        <v>94</v>
      </c>
      <c r="F98" s="10" t="s">
        <v>32</v>
      </c>
      <c r="G98" s="10" t="s">
        <v>37</v>
      </c>
      <c r="H98" s="10" t="s">
        <v>18</v>
      </c>
      <c r="I98" s="10">
        <v>469</v>
      </c>
      <c r="J98" s="10">
        <v>75</v>
      </c>
      <c r="K98" s="11">
        <v>45020</v>
      </c>
      <c r="L98" s="13">
        <f>MONTH(Table1[[#This Row],[Order date ]])</f>
        <v>4</v>
      </c>
      <c r="M98" s="10" t="str">
        <f>TEXT(Table1[[#This Row],[Order date ]],"MMM")</f>
        <v>Apr</v>
      </c>
      <c r="N98" s="10" t="str">
        <f>TEXT(Table1[[#This Row],[Order date ]],"DDD")</f>
        <v>Tue</v>
      </c>
      <c r="O98" s="10" t="str">
        <f>_xlfn.CONCAT("Q",ROUNDUP(Table1[[#This Row],[Month]]/3,0))</f>
        <v>Q2</v>
      </c>
      <c r="P98" s="12">
        <f>Table1[[#This Row],[Amount]]*Table1[[#This Row],[Units]]</f>
        <v>35175</v>
      </c>
      <c r="Q98" s="13" t="str">
        <f>IF(Table1[[#This Row],[Total Sales]]&lt;AVERAGE(Table1[Total Sales]),"Low","High")</f>
        <v>Low</v>
      </c>
    </row>
    <row r="99" spans="5:17" x14ac:dyDescent="0.3">
      <c r="E99" s="10">
        <v>95</v>
      </c>
      <c r="F99" s="10" t="s">
        <v>3</v>
      </c>
      <c r="G99" s="10" t="s">
        <v>40</v>
      </c>
      <c r="H99" s="10" t="s">
        <v>16</v>
      </c>
      <c r="I99" s="10">
        <v>2737</v>
      </c>
      <c r="J99" s="10">
        <v>93</v>
      </c>
      <c r="K99" s="11">
        <v>45021</v>
      </c>
      <c r="L99" s="13">
        <f>MONTH(Table1[[#This Row],[Order date ]])</f>
        <v>4</v>
      </c>
      <c r="M99" s="10" t="str">
        <f>TEXT(Table1[[#This Row],[Order date ]],"MMM")</f>
        <v>Apr</v>
      </c>
      <c r="N99" s="10" t="str">
        <f>TEXT(Table1[[#This Row],[Order date ]],"DDD")</f>
        <v>Wed</v>
      </c>
      <c r="O99" s="10" t="str">
        <f>_xlfn.CONCAT("Q",ROUNDUP(Table1[[#This Row],[Month]]/3,0))</f>
        <v>Q2</v>
      </c>
      <c r="P99" s="12">
        <f>Table1[[#This Row],[Amount]]*Table1[[#This Row],[Units]]</f>
        <v>254541</v>
      </c>
      <c r="Q99" s="13" t="str">
        <f>IF(Table1[[#This Row],[Total Sales]]&lt;AVERAGE(Table1[Total Sales]),"Low","High")</f>
        <v>Low</v>
      </c>
    </row>
    <row r="100" spans="5:17" x14ac:dyDescent="0.3">
      <c r="E100" s="10">
        <v>96</v>
      </c>
      <c r="F100" s="10" t="s">
        <v>3</v>
      </c>
      <c r="G100" s="10" t="s">
        <v>40</v>
      </c>
      <c r="H100" s="10" t="s">
        <v>18</v>
      </c>
      <c r="I100" s="10">
        <v>4305</v>
      </c>
      <c r="J100" s="10">
        <v>156</v>
      </c>
      <c r="K100" s="11">
        <v>45022</v>
      </c>
      <c r="L100" s="13">
        <f>MONTH(Table1[[#This Row],[Order date ]])</f>
        <v>4</v>
      </c>
      <c r="M100" s="10" t="str">
        <f>TEXT(Table1[[#This Row],[Order date ]],"MMM")</f>
        <v>Apr</v>
      </c>
      <c r="N100" s="10" t="str">
        <f>TEXT(Table1[[#This Row],[Order date ]],"DDD")</f>
        <v>Thu</v>
      </c>
      <c r="O100" s="10" t="str">
        <f>_xlfn.CONCAT("Q",ROUNDUP(Table1[[#This Row],[Month]]/3,0))</f>
        <v>Q2</v>
      </c>
      <c r="P100" s="12">
        <f>Table1[[#This Row],[Amount]]*Table1[[#This Row],[Units]]</f>
        <v>671580</v>
      </c>
      <c r="Q100" s="13" t="str">
        <f>IF(Table1[[#This Row],[Total Sales]]&lt;AVERAGE(Table1[Total Sales]),"Low","High")</f>
        <v>High</v>
      </c>
    </row>
    <row r="101" spans="5:17" x14ac:dyDescent="0.3">
      <c r="E101" s="10">
        <v>97</v>
      </c>
      <c r="F101" s="10" t="s">
        <v>3</v>
      </c>
      <c r="G101" s="10" t="s">
        <v>37</v>
      </c>
      <c r="H101" s="10" t="s">
        <v>10</v>
      </c>
      <c r="I101" s="10">
        <v>2408</v>
      </c>
      <c r="J101" s="10">
        <v>9</v>
      </c>
      <c r="K101" s="11">
        <v>45023</v>
      </c>
      <c r="L101" s="13">
        <f>MONTH(Table1[[#This Row],[Order date ]])</f>
        <v>4</v>
      </c>
      <c r="M101" s="10" t="str">
        <f>TEXT(Table1[[#This Row],[Order date ]],"MMM")</f>
        <v>Apr</v>
      </c>
      <c r="N101" s="10" t="str">
        <f>TEXT(Table1[[#This Row],[Order date ]],"DDD")</f>
        <v>Fri</v>
      </c>
      <c r="O101" s="10" t="str">
        <f>_xlfn.CONCAT("Q",ROUNDUP(Table1[[#This Row],[Month]]/3,0))</f>
        <v>Q2</v>
      </c>
      <c r="P101" s="12">
        <f>Table1[[#This Row],[Amount]]*Table1[[#This Row],[Units]]</f>
        <v>21672</v>
      </c>
      <c r="Q101" s="13" t="str">
        <f>IF(Table1[[#This Row],[Total Sales]]&lt;AVERAGE(Table1[Total Sales]),"Low","High")</f>
        <v>Low</v>
      </c>
    </row>
    <row r="102" spans="5:17" x14ac:dyDescent="0.3">
      <c r="E102" s="10">
        <v>98</v>
      </c>
      <c r="F102" s="10" t="s">
        <v>34</v>
      </c>
      <c r="G102" s="10" t="s">
        <v>38</v>
      </c>
      <c r="H102" s="10" t="s">
        <v>12</v>
      </c>
      <c r="I102" s="10">
        <v>1281</v>
      </c>
      <c r="J102" s="10">
        <v>18</v>
      </c>
      <c r="K102" s="11">
        <v>45024</v>
      </c>
      <c r="L102" s="13">
        <f>MONTH(Table1[[#This Row],[Order date ]])</f>
        <v>4</v>
      </c>
      <c r="M102" s="10" t="str">
        <f>TEXT(Table1[[#This Row],[Order date ]],"MMM")</f>
        <v>Apr</v>
      </c>
      <c r="N102" s="10" t="str">
        <f>TEXT(Table1[[#This Row],[Order date ]],"DDD")</f>
        <v>Sat</v>
      </c>
      <c r="O102" s="10" t="str">
        <f>_xlfn.CONCAT("Q",ROUNDUP(Table1[[#This Row],[Month]]/3,0))</f>
        <v>Q2</v>
      </c>
      <c r="P102" s="12">
        <f>Table1[[#This Row],[Amount]]*Table1[[#This Row],[Units]]</f>
        <v>23058</v>
      </c>
      <c r="Q102" s="13" t="str">
        <f>IF(Table1[[#This Row],[Total Sales]]&lt;AVERAGE(Table1[Total Sales]),"Low","High")</f>
        <v>Low</v>
      </c>
    </row>
    <row r="103" spans="5:17" x14ac:dyDescent="0.3">
      <c r="E103" s="10">
        <v>99</v>
      </c>
      <c r="F103" s="10" t="s">
        <v>36</v>
      </c>
      <c r="G103" s="10" t="s">
        <v>45</v>
      </c>
      <c r="H103" s="10" t="s">
        <v>25</v>
      </c>
      <c r="I103" s="10">
        <v>12348</v>
      </c>
      <c r="J103" s="10">
        <v>234</v>
      </c>
      <c r="K103" s="11">
        <v>45025</v>
      </c>
      <c r="L103" s="13">
        <f>MONTH(Table1[[#This Row],[Order date ]])</f>
        <v>4</v>
      </c>
      <c r="M103" s="10" t="str">
        <f>TEXT(Table1[[#This Row],[Order date ]],"MMM")</f>
        <v>Apr</v>
      </c>
      <c r="N103" s="10" t="str">
        <f>TEXT(Table1[[#This Row],[Order date ]],"DDD")</f>
        <v>Sun</v>
      </c>
      <c r="O103" s="10" t="str">
        <f>_xlfn.CONCAT("Q",ROUNDUP(Table1[[#This Row],[Month]]/3,0))</f>
        <v>Q2</v>
      </c>
      <c r="P103" s="12">
        <f>Table1[[#This Row],[Amount]]*Table1[[#This Row],[Units]]</f>
        <v>2889432</v>
      </c>
      <c r="Q103" s="13" t="str">
        <f>IF(Table1[[#This Row],[Total Sales]]&lt;AVERAGE(Table1[Total Sales]),"Low","High")</f>
        <v>High</v>
      </c>
    </row>
    <row r="104" spans="5:17" x14ac:dyDescent="0.3">
      <c r="E104" s="10">
        <v>100</v>
      </c>
      <c r="F104" s="10" t="s">
        <v>34</v>
      </c>
      <c r="G104" s="10" t="s">
        <v>39</v>
      </c>
      <c r="H104" s="10" t="s">
        <v>21</v>
      </c>
      <c r="I104" s="10">
        <v>3689</v>
      </c>
      <c r="J104" s="10">
        <v>312</v>
      </c>
      <c r="K104" s="11">
        <v>45026</v>
      </c>
      <c r="L104" s="13">
        <f>MONTH(Table1[[#This Row],[Order date ]])</f>
        <v>4</v>
      </c>
      <c r="M104" s="10" t="str">
        <f>TEXT(Table1[[#This Row],[Order date ]],"MMM")</f>
        <v>Apr</v>
      </c>
      <c r="N104" s="10" t="str">
        <f>TEXT(Table1[[#This Row],[Order date ]],"DDD")</f>
        <v>Mon</v>
      </c>
      <c r="O104" s="10" t="str">
        <f>_xlfn.CONCAT("Q",ROUNDUP(Table1[[#This Row],[Month]]/3,0))</f>
        <v>Q2</v>
      </c>
      <c r="P104" s="12">
        <f>Table1[[#This Row],[Amount]]*Table1[[#This Row],[Units]]</f>
        <v>1150968</v>
      </c>
      <c r="Q104" s="13" t="str">
        <f>IF(Table1[[#This Row],[Total Sales]]&lt;AVERAGE(Table1[Total Sales]),"Low","High")</f>
        <v>High</v>
      </c>
    </row>
    <row r="105" spans="5:17" x14ac:dyDescent="0.3">
      <c r="E105" s="10">
        <v>101</v>
      </c>
      <c r="F105" s="10" t="s">
        <v>31</v>
      </c>
      <c r="G105" s="10" t="s">
        <v>38</v>
      </c>
      <c r="H105" s="10" t="s">
        <v>12</v>
      </c>
      <c r="I105" s="10">
        <v>2870</v>
      </c>
      <c r="J105" s="10">
        <v>300</v>
      </c>
      <c r="K105" s="11">
        <v>45027</v>
      </c>
      <c r="L105" s="13">
        <f>MONTH(Table1[[#This Row],[Order date ]])</f>
        <v>4</v>
      </c>
      <c r="M105" s="10" t="str">
        <f>TEXT(Table1[[#This Row],[Order date ]],"MMM")</f>
        <v>Apr</v>
      </c>
      <c r="N105" s="10" t="str">
        <f>TEXT(Table1[[#This Row],[Order date ]],"DDD")</f>
        <v>Tue</v>
      </c>
      <c r="O105" s="10" t="str">
        <f>_xlfn.CONCAT("Q",ROUNDUP(Table1[[#This Row],[Month]]/3,0))</f>
        <v>Q2</v>
      </c>
      <c r="P105" s="12">
        <f>Table1[[#This Row],[Amount]]*Table1[[#This Row],[Units]]</f>
        <v>861000</v>
      </c>
      <c r="Q105" s="13" t="str">
        <f>IF(Table1[[#This Row],[Total Sales]]&lt;AVERAGE(Table1[Total Sales]),"Low","High")</f>
        <v>High</v>
      </c>
    </row>
    <row r="106" spans="5:17" x14ac:dyDescent="0.3">
      <c r="E106" s="10">
        <v>102</v>
      </c>
      <c r="F106" s="10" t="s">
        <v>28</v>
      </c>
      <c r="G106" s="10" t="s">
        <v>38</v>
      </c>
      <c r="H106" s="10" t="s">
        <v>20</v>
      </c>
      <c r="I106" s="10">
        <v>798</v>
      </c>
      <c r="J106" s="10">
        <v>519</v>
      </c>
      <c r="K106" s="11">
        <v>45028</v>
      </c>
      <c r="L106" s="13">
        <f>MONTH(Table1[[#This Row],[Order date ]])</f>
        <v>4</v>
      </c>
      <c r="M106" s="10" t="str">
        <f>TEXT(Table1[[#This Row],[Order date ]],"MMM")</f>
        <v>Apr</v>
      </c>
      <c r="N106" s="10" t="str">
        <f>TEXT(Table1[[#This Row],[Order date ]],"DDD")</f>
        <v>Wed</v>
      </c>
      <c r="O106" s="10" t="str">
        <f>_xlfn.CONCAT("Q",ROUNDUP(Table1[[#This Row],[Month]]/3,0))</f>
        <v>Q2</v>
      </c>
      <c r="P106" s="12">
        <f>Table1[[#This Row],[Amount]]*Table1[[#This Row],[Units]]</f>
        <v>414162</v>
      </c>
      <c r="Q106" s="13" t="str">
        <f>IF(Table1[[#This Row],[Total Sales]]&lt;AVERAGE(Table1[Total Sales]),"Low","High")</f>
        <v>Low</v>
      </c>
    </row>
    <row r="107" spans="5:17" x14ac:dyDescent="0.3">
      <c r="E107" s="10">
        <v>103</v>
      </c>
      <c r="F107" s="10" t="s">
        <v>30</v>
      </c>
      <c r="G107" s="10" t="s">
        <v>40</v>
      </c>
      <c r="H107" s="10" t="s">
        <v>14</v>
      </c>
      <c r="I107" s="10">
        <v>2933</v>
      </c>
      <c r="J107" s="10">
        <v>9</v>
      </c>
      <c r="K107" s="11">
        <v>45029</v>
      </c>
      <c r="L107" s="13">
        <f>MONTH(Table1[[#This Row],[Order date ]])</f>
        <v>4</v>
      </c>
      <c r="M107" s="10" t="str">
        <f>TEXT(Table1[[#This Row],[Order date ]],"MMM")</f>
        <v>Apr</v>
      </c>
      <c r="N107" s="10" t="str">
        <f>TEXT(Table1[[#This Row],[Order date ]],"DDD")</f>
        <v>Thu</v>
      </c>
      <c r="O107" s="10" t="str">
        <f>_xlfn.CONCAT("Q",ROUNDUP(Table1[[#This Row],[Month]]/3,0))</f>
        <v>Q2</v>
      </c>
      <c r="P107" s="12">
        <f>Table1[[#This Row],[Amount]]*Table1[[#This Row],[Units]]</f>
        <v>26397</v>
      </c>
      <c r="Q107" s="13" t="str">
        <f>IF(Table1[[#This Row],[Total Sales]]&lt;AVERAGE(Table1[Total Sales]),"Low","High")</f>
        <v>Low</v>
      </c>
    </row>
    <row r="108" spans="5:17" x14ac:dyDescent="0.3">
      <c r="E108" s="10">
        <v>104</v>
      </c>
      <c r="F108" s="10" t="s">
        <v>33</v>
      </c>
      <c r="G108" s="10" t="s">
        <v>45</v>
      </c>
      <c r="H108" s="10" t="s">
        <v>2</v>
      </c>
      <c r="I108" s="10">
        <v>2744</v>
      </c>
      <c r="J108" s="10">
        <v>9</v>
      </c>
      <c r="K108" s="11">
        <v>45030</v>
      </c>
      <c r="L108" s="13">
        <f>MONTH(Table1[[#This Row],[Order date ]])</f>
        <v>4</v>
      </c>
      <c r="M108" s="10" t="str">
        <f>TEXT(Table1[[#This Row],[Order date ]],"MMM")</f>
        <v>Apr</v>
      </c>
      <c r="N108" s="10" t="str">
        <f>TEXT(Table1[[#This Row],[Order date ]],"DDD")</f>
        <v>Fri</v>
      </c>
      <c r="O108" s="10" t="str">
        <f>_xlfn.CONCAT("Q",ROUNDUP(Table1[[#This Row],[Month]]/3,0))</f>
        <v>Q2</v>
      </c>
      <c r="P108" s="12">
        <f>Table1[[#This Row],[Amount]]*Table1[[#This Row],[Units]]</f>
        <v>24696</v>
      </c>
      <c r="Q108" s="13" t="str">
        <f>IF(Table1[[#This Row],[Total Sales]]&lt;AVERAGE(Table1[Total Sales]),"Low","High")</f>
        <v>Low</v>
      </c>
    </row>
    <row r="109" spans="5:17" x14ac:dyDescent="0.3">
      <c r="E109" s="10">
        <v>105</v>
      </c>
      <c r="F109" s="10" t="s">
        <v>36</v>
      </c>
      <c r="G109" s="10" t="s">
        <v>38</v>
      </c>
      <c r="H109" s="10" t="s">
        <v>26</v>
      </c>
      <c r="I109" s="10">
        <v>9772</v>
      </c>
      <c r="J109" s="10">
        <v>90</v>
      </c>
      <c r="K109" s="11">
        <v>45031</v>
      </c>
      <c r="L109" s="13">
        <f>MONTH(Table1[[#This Row],[Order date ]])</f>
        <v>4</v>
      </c>
      <c r="M109" s="10" t="str">
        <f>TEXT(Table1[[#This Row],[Order date ]],"MMM")</f>
        <v>Apr</v>
      </c>
      <c r="N109" s="10" t="str">
        <f>TEXT(Table1[[#This Row],[Order date ]],"DDD")</f>
        <v>Sat</v>
      </c>
      <c r="O109" s="10" t="str">
        <f>_xlfn.CONCAT("Q",ROUNDUP(Table1[[#This Row],[Month]]/3,0))</f>
        <v>Q2</v>
      </c>
      <c r="P109" s="12">
        <f>Table1[[#This Row],[Amount]]*Table1[[#This Row],[Units]]</f>
        <v>879480</v>
      </c>
      <c r="Q109" s="13" t="str">
        <f>IF(Table1[[#This Row],[Total Sales]]&lt;AVERAGE(Table1[Total Sales]),"Low","High")</f>
        <v>High</v>
      </c>
    </row>
    <row r="110" spans="5:17" x14ac:dyDescent="0.3">
      <c r="E110" s="10">
        <v>106</v>
      </c>
      <c r="F110" s="10" t="s">
        <v>31</v>
      </c>
      <c r="G110" s="10" t="s">
        <v>39</v>
      </c>
      <c r="H110" s="10" t="s">
        <v>18</v>
      </c>
      <c r="I110" s="10">
        <v>1568</v>
      </c>
      <c r="J110" s="10">
        <v>96</v>
      </c>
      <c r="K110" s="11">
        <v>45032</v>
      </c>
      <c r="L110" s="13">
        <f>MONTH(Table1[[#This Row],[Order date ]])</f>
        <v>4</v>
      </c>
      <c r="M110" s="10" t="str">
        <f>TEXT(Table1[[#This Row],[Order date ]],"MMM")</f>
        <v>Apr</v>
      </c>
      <c r="N110" s="10" t="str">
        <f>TEXT(Table1[[#This Row],[Order date ]],"DDD")</f>
        <v>Sun</v>
      </c>
      <c r="O110" s="10" t="str">
        <f>_xlfn.CONCAT("Q",ROUNDUP(Table1[[#This Row],[Month]]/3,0))</f>
        <v>Q2</v>
      </c>
      <c r="P110" s="12">
        <f>Table1[[#This Row],[Amount]]*Table1[[#This Row],[Units]]</f>
        <v>150528</v>
      </c>
      <c r="Q110" s="13" t="str">
        <f>IF(Table1[[#This Row],[Total Sales]]&lt;AVERAGE(Table1[Total Sales]),"Low","High")</f>
        <v>Low</v>
      </c>
    </row>
    <row r="111" spans="5:17" x14ac:dyDescent="0.3">
      <c r="E111" s="10">
        <v>107</v>
      </c>
      <c r="F111" s="10" t="s">
        <v>28</v>
      </c>
      <c r="G111" s="10" t="s">
        <v>38</v>
      </c>
      <c r="H111" s="10" t="s">
        <v>9</v>
      </c>
      <c r="I111" s="10">
        <v>11417</v>
      </c>
      <c r="J111" s="10">
        <v>21</v>
      </c>
      <c r="K111" s="11">
        <v>45033</v>
      </c>
      <c r="L111" s="13">
        <f>MONTH(Table1[[#This Row],[Order date ]])</f>
        <v>4</v>
      </c>
      <c r="M111" s="10" t="str">
        <f>TEXT(Table1[[#This Row],[Order date ]],"MMM")</f>
        <v>Apr</v>
      </c>
      <c r="N111" s="10" t="str">
        <f>TEXT(Table1[[#This Row],[Order date ]],"DDD")</f>
        <v>Mon</v>
      </c>
      <c r="O111" s="10" t="str">
        <f>_xlfn.CONCAT("Q",ROUNDUP(Table1[[#This Row],[Month]]/3,0))</f>
        <v>Q2</v>
      </c>
      <c r="P111" s="12">
        <f>Table1[[#This Row],[Amount]]*Table1[[#This Row],[Units]]</f>
        <v>239757</v>
      </c>
      <c r="Q111" s="13" t="str">
        <f>IF(Table1[[#This Row],[Total Sales]]&lt;AVERAGE(Table1[Total Sales]),"Low","High")</f>
        <v>Low</v>
      </c>
    </row>
    <row r="112" spans="5:17" x14ac:dyDescent="0.3">
      <c r="E112" s="10">
        <v>108</v>
      </c>
      <c r="F112" s="10" t="s">
        <v>36</v>
      </c>
      <c r="G112" s="10" t="s">
        <v>39</v>
      </c>
      <c r="H112" s="10" t="s">
        <v>19</v>
      </c>
      <c r="I112" s="10">
        <v>6748</v>
      </c>
      <c r="J112" s="10">
        <v>48</v>
      </c>
      <c r="K112" s="11">
        <v>45034</v>
      </c>
      <c r="L112" s="13">
        <f>MONTH(Table1[[#This Row],[Order date ]])</f>
        <v>4</v>
      </c>
      <c r="M112" s="10" t="str">
        <f>TEXT(Table1[[#This Row],[Order date ]],"MMM")</f>
        <v>Apr</v>
      </c>
      <c r="N112" s="10" t="str">
        <f>TEXT(Table1[[#This Row],[Order date ]],"DDD")</f>
        <v>Tue</v>
      </c>
      <c r="O112" s="10" t="str">
        <f>_xlfn.CONCAT("Q",ROUNDUP(Table1[[#This Row],[Month]]/3,0))</f>
        <v>Q2</v>
      </c>
      <c r="P112" s="12">
        <f>Table1[[#This Row],[Amount]]*Table1[[#This Row],[Units]]</f>
        <v>323904</v>
      </c>
      <c r="Q112" s="13" t="str">
        <f>IF(Table1[[#This Row],[Total Sales]]&lt;AVERAGE(Table1[Total Sales]),"Low","High")</f>
        <v>Low</v>
      </c>
    </row>
    <row r="113" spans="5:17" x14ac:dyDescent="0.3">
      <c r="E113" s="10">
        <v>109</v>
      </c>
      <c r="F113" s="10" t="s">
        <v>35</v>
      </c>
      <c r="G113" s="10" t="s">
        <v>38</v>
      </c>
      <c r="H113" s="10" t="s">
        <v>20</v>
      </c>
      <c r="I113" s="10">
        <v>1407</v>
      </c>
      <c r="J113" s="10">
        <v>72</v>
      </c>
      <c r="K113" s="11">
        <v>45035</v>
      </c>
      <c r="L113" s="13">
        <f>MONTH(Table1[[#This Row],[Order date ]])</f>
        <v>4</v>
      </c>
      <c r="M113" s="10" t="str">
        <f>TEXT(Table1[[#This Row],[Order date ]],"MMM")</f>
        <v>Apr</v>
      </c>
      <c r="N113" s="10" t="str">
        <f>TEXT(Table1[[#This Row],[Order date ]],"DDD")</f>
        <v>Wed</v>
      </c>
      <c r="O113" s="10" t="str">
        <f>_xlfn.CONCAT("Q",ROUNDUP(Table1[[#This Row],[Month]]/3,0))</f>
        <v>Q2</v>
      </c>
      <c r="P113" s="12">
        <f>Table1[[#This Row],[Amount]]*Table1[[#This Row],[Units]]</f>
        <v>101304</v>
      </c>
      <c r="Q113" s="13" t="str">
        <f>IF(Table1[[#This Row],[Total Sales]]&lt;AVERAGE(Table1[Total Sales]),"Low","High")</f>
        <v>Low</v>
      </c>
    </row>
    <row r="114" spans="5:17" x14ac:dyDescent="0.3">
      <c r="E114" s="10">
        <v>110</v>
      </c>
      <c r="F114" s="10" t="s">
        <v>29</v>
      </c>
      <c r="G114" s="10" t="s">
        <v>45</v>
      </c>
      <c r="H114" s="10" t="s">
        <v>22</v>
      </c>
      <c r="I114" s="10">
        <v>2023</v>
      </c>
      <c r="J114" s="10">
        <v>168</v>
      </c>
      <c r="K114" s="11">
        <v>45036</v>
      </c>
      <c r="L114" s="13">
        <f>MONTH(Table1[[#This Row],[Order date ]])</f>
        <v>4</v>
      </c>
      <c r="M114" s="10" t="str">
        <f>TEXT(Table1[[#This Row],[Order date ]],"MMM")</f>
        <v>Apr</v>
      </c>
      <c r="N114" s="10" t="str">
        <f>TEXT(Table1[[#This Row],[Order date ]],"DDD")</f>
        <v>Thu</v>
      </c>
      <c r="O114" s="10" t="str">
        <f>_xlfn.CONCAT("Q",ROUNDUP(Table1[[#This Row],[Month]]/3,0))</f>
        <v>Q2</v>
      </c>
      <c r="P114" s="12">
        <f>Table1[[#This Row],[Amount]]*Table1[[#This Row],[Units]]</f>
        <v>339864</v>
      </c>
      <c r="Q114" s="13" t="str">
        <f>IF(Table1[[#This Row],[Total Sales]]&lt;AVERAGE(Table1[Total Sales]),"Low","High")</f>
        <v>Low</v>
      </c>
    </row>
    <row r="115" spans="5:17" x14ac:dyDescent="0.3">
      <c r="E115" s="10">
        <v>111</v>
      </c>
      <c r="F115" s="10" t="s">
        <v>33</v>
      </c>
      <c r="G115" s="10" t="s">
        <v>43</v>
      </c>
      <c r="H115" s="10" t="s">
        <v>19</v>
      </c>
      <c r="I115" s="10">
        <v>5236</v>
      </c>
      <c r="J115" s="10">
        <v>51</v>
      </c>
      <c r="K115" s="11">
        <v>45037</v>
      </c>
      <c r="L115" s="13">
        <f>MONTH(Table1[[#This Row],[Order date ]])</f>
        <v>4</v>
      </c>
      <c r="M115" s="10" t="str">
        <f>TEXT(Table1[[#This Row],[Order date ]],"MMM")</f>
        <v>Apr</v>
      </c>
      <c r="N115" s="10" t="str">
        <f>TEXT(Table1[[#This Row],[Order date ]],"DDD")</f>
        <v>Fri</v>
      </c>
      <c r="O115" s="10" t="str">
        <f>_xlfn.CONCAT("Q",ROUNDUP(Table1[[#This Row],[Month]]/3,0))</f>
        <v>Q2</v>
      </c>
      <c r="P115" s="12">
        <f>Table1[[#This Row],[Amount]]*Table1[[#This Row],[Units]]</f>
        <v>267036</v>
      </c>
      <c r="Q115" s="13" t="str">
        <f>IF(Table1[[#This Row],[Total Sales]]&lt;AVERAGE(Table1[Total Sales]),"Low","High")</f>
        <v>Low</v>
      </c>
    </row>
    <row r="116" spans="5:17" x14ac:dyDescent="0.3">
      <c r="E116" s="10">
        <v>112</v>
      </c>
      <c r="F116" s="10" t="s">
        <v>30</v>
      </c>
      <c r="G116" s="10" t="s">
        <v>38</v>
      </c>
      <c r="H116" s="10" t="s">
        <v>12</v>
      </c>
      <c r="I116" s="10">
        <v>1925</v>
      </c>
      <c r="J116" s="10">
        <v>192</v>
      </c>
      <c r="K116" s="11">
        <v>45038</v>
      </c>
      <c r="L116" s="13">
        <f>MONTH(Table1[[#This Row],[Order date ]])</f>
        <v>4</v>
      </c>
      <c r="M116" s="10" t="str">
        <f>TEXT(Table1[[#This Row],[Order date ]],"MMM")</f>
        <v>Apr</v>
      </c>
      <c r="N116" s="10" t="str">
        <f>TEXT(Table1[[#This Row],[Order date ]],"DDD")</f>
        <v>Sat</v>
      </c>
      <c r="O116" s="10" t="str">
        <f>_xlfn.CONCAT("Q",ROUNDUP(Table1[[#This Row],[Month]]/3,0))</f>
        <v>Q2</v>
      </c>
      <c r="P116" s="12">
        <f>Table1[[#This Row],[Amount]]*Table1[[#This Row],[Units]]</f>
        <v>369600</v>
      </c>
      <c r="Q116" s="13" t="str">
        <f>IF(Table1[[#This Row],[Total Sales]]&lt;AVERAGE(Table1[Total Sales]),"Low","High")</f>
        <v>Low</v>
      </c>
    </row>
    <row r="117" spans="5:17" x14ac:dyDescent="0.3">
      <c r="E117" s="10">
        <v>113</v>
      </c>
      <c r="F117" s="10" t="s">
        <v>31</v>
      </c>
      <c r="G117" s="10" t="s">
        <v>40</v>
      </c>
      <c r="H117" s="10" t="s">
        <v>7</v>
      </c>
      <c r="I117" s="10">
        <v>6608</v>
      </c>
      <c r="J117" s="10">
        <v>225</v>
      </c>
      <c r="K117" s="11">
        <v>45039</v>
      </c>
      <c r="L117" s="13">
        <f>MONTH(Table1[[#This Row],[Order date ]])</f>
        <v>4</v>
      </c>
      <c r="M117" s="10" t="str">
        <f>TEXT(Table1[[#This Row],[Order date ]],"MMM")</f>
        <v>Apr</v>
      </c>
      <c r="N117" s="10" t="str">
        <f>TEXT(Table1[[#This Row],[Order date ]],"DDD")</f>
        <v>Sun</v>
      </c>
      <c r="O117" s="10" t="str">
        <f>_xlfn.CONCAT("Q",ROUNDUP(Table1[[#This Row],[Month]]/3,0))</f>
        <v>Q2</v>
      </c>
      <c r="P117" s="12">
        <f>Table1[[#This Row],[Amount]]*Table1[[#This Row],[Units]]</f>
        <v>1486800</v>
      </c>
      <c r="Q117" s="13" t="str">
        <f>IF(Table1[[#This Row],[Total Sales]]&lt;AVERAGE(Table1[Total Sales]),"Low","High")</f>
        <v>High</v>
      </c>
    </row>
    <row r="118" spans="5:17" x14ac:dyDescent="0.3">
      <c r="E118" s="10">
        <v>114</v>
      </c>
      <c r="F118" s="10" t="s">
        <v>32</v>
      </c>
      <c r="G118" s="10" t="s">
        <v>39</v>
      </c>
      <c r="H118" s="10" t="s">
        <v>19</v>
      </c>
      <c r="I118" s="10">
        <v>8008</v>
      </c>
      <c r="J118" s="10">
        <v>456</v>
      </c>
      <c r="K118" s="11">
        <v>45040</v>
      </c>
      <c r="L118" s="13">
        <f>MONTH(Table1[[#This Row],[Order date ]])</f>
        <v>4</v>
      </c>
      <c r="M118" s="10" t="str">
        <f>TEXT(Table1[[#This Row],[Order date ]],"MMM")</f>
        <v>Apr</v>
      </c>
      <c r="N118" s="10" t="str">
        <f>TEXT(Table1[[#This Row],[Order date ]],"DDD")</f>
        <v>Mon</v>
      </c>
      <c r="O118" s="10" t="str">
        <f>_xlfn.CONCAT("Q",ROUNDUP(Table1[[#This Row],[Month]]/3,0))</f>
        <v>Q2</v>
      </c>
      <c r="P118" s="12">
        <f>Table1[[#This Row],[Amount]]*Table1[[#This Row],[Units]]</f>
        <v>3651648</v>
      </c>
      <c r="Q118" s="13" t="str">
        <f>IF(Table1[[#This Row],[Total Sales]]&lt;AVERAGE(Table1[Total Sales]),"Low","High")</f>
        <v>High</v>
      </c>
    </row>
    <row r="119" spans="5:17" x14ac:dyDescent="0.3">
      <c r="E119" s="10">
        <v>115</v>
      </c>
      <c r="F119" s="10" t="s">
        <v>35</v>
      </c>
      <c r="G119" s="10" t="s">
        <v>39</v>
      </c>
      <c r="H119" s="10" t="s">
        <v>18</v>
      </c>
      <c r="I119" s="10">
        <v>1428</v>
      </c>
      <c r="J119" s="10">
        <v>93</v>
      </c>
      <c r="K119" s="11">
        <v>45041</v>
      </c>
      <c r="L119" s="13">
        <f>MONTH(Table1[[#This Row],[Order date ]])</f>
        <v>4</v>
      </c>
      <c r="M119" s="10" t="str">
        <f>TEXT(Table1[[#This Row],[Order date ]],"MMM")</f>
        <v>Apr</v>
      </c>
      <c r="N119" s="10" t="str">
        <f>TEXT(Table1[[#This Row],[Order date ]],"DDD")</f>
        <v>Tue</v>
      </c>
      <c r="O119" s="10" t="str">
        <f>_xlfn.CONCAT("Q",ROUNDUP(Table1[[#This Row],[Month]]/3,0))</f>
        <v>Q2</v>
      </c>
      <c r="P119" s="12">
        <f>Table1[[#This Row],[Amount]]*Table1[[#This Row],[Units]]</f>
        <v>132804</v>
      </c>
      <c r="Q119" s="13" t="str">
        <f>IF(Table1[[#This Row],[Total Sales]]&lt;AVERAGE(Table1[Total Sales]),"Low","High")</f>
        <v>Low</v>
      </c>
    </row>
    <row r="120" spans="5:17" x14ac:dyDescent="0.3">
      <c r="E120" s="10">
        <v>116</v>
      </c>
      <c r="F120" s="10" t="s">
        <v>32</v>
      </c>
      <c r="G120" s="10" t="s">
        <v>39</v>
      </c>
      <c r="H120" s="10" t="s">
        <v>2</v>
      </c>
      <c r="I120" s="10">
        <v>525</v>
      </c>
      <c r="J120" s="10">
        <v>48</v>
      </c>
      <c r="K120" s="11">
        <v>45042</v>
      </c>
      <c r="L120" s="13">
        <f>MONTH(Table1[[#This Row],[Order date ]])</f>
        <v>4</v>
      </c>
      <c r="M120" s="10" t="str">
        <f>TEXT(Table1[[#This Row],[Order date ]],"MMM")</f>
        <v>Apr</v>
      </c>
      <c r="N120" s="10" t="str">
        <f>TEXT(Table1[[#This Row],[Order date ]],"DDD")</f>
        <v>Wed</v>
      </c>
      <c r="O120" s="10" t="str">
        <f>_xlfn.CONCAT("Q",ROUNDUP(Table1[[#This Row],[Month]]/3,0))</f>
        <v>Q2</v>
      </c>
      <c r="P120" s="12">
        <f>Table1[[#This Row],[Amount]]*Table1[[#This Row],[Units]]</f>
        <v>25200</v>
      </c>
      <c r="Q120" s="13" t="str">
        <f>IF(Table1[[#This Row],[Total Sales]]&lt;AVERAGE(Table1[Total Sales]),"Low","High")</f>
        <v>Low</v>
      </c>
    </row>
    <row r="121" spans="5:17" x14ac:dyDescent="0.3">
      <c r="E121" s="10">
        <v>117</v>
      </c>
      <c r="F121" s="10" t="s">
        <v>32</v>
      </c>
      <c r="G121" s="10" t="s">
        <v>40</v>
      </c>
      <c r="H121" s="10" t="s">
        <v>11</v>
      </c>
      <c r="I121" s="10">
        <v>1505</v>
      </c>
      <c r="J121" s="10">
        <v>102</v>
      </c>
      <c r="K121" s="11">
        <v>45043</v>
      </c>
      <c r="L121" s="13">
        <f>MONTH(Table1[[#This Row],[Order date ]])</f>
        <v>4</v>
      </c>
      <c r="M121" s="10" t="str">
        <f>TEXT(Table1[[#This Row],[Order date ]],"MMM")</f>
        <v>Apr</v>
      </c>
      <c r="N121" s="10" t="str">
        <f>TEXT(Table1[[#This Row],[Order date ]],"DDD")</f>
        <v>Thu</v>
      </c>
      <c r="O121" s="10" t="str">
        <f>_xlfn.CONCAT("Q",ROUNDUP(Table1[[#This Row],[Month]]/3,0))</f>
        <v>Q2</v>
      </c>
      <c r="P121" s="12">
        <f>Table1[[#This Row],[Amount]]*Table1[[#This Row],[Units]]</f>
        <v>153510</v>
      </c>
      <c r="Q121" s="13" t="str">
        <f>IF(Table1[[#This Row],[Total Sales]]&lt;AVERAGE(Table1[Total Sales]),"Low","High")</f>
        <v>Low</v>
      </c>
    </row>
    <row r="122" spans="5:17" x14ac:dyDescent="0.3">
      <c r="E122" s="10">
        <v>118</v>
      </c>
      <c r="F122" s="10" t="s">
        <v>31</v>
      </c>
      <c r="G122" s="10" t="s">
        <v>45</v>
      </c>
      <c r="H122" s="10" t="s">
        <v>23</v>
      </c>
      <c r="I122" s="10">
        <v>6755</v>
      </c>
      <c r="J122" s="10">
        <v>252</v>
      </c>
      <c r="K122" s="11">
        <v>45044</v>
      </c>
      <c r="L122" s="13">
        <f>MONTH(Table1[[#This Row],[Order date ]])</f>
        <v>4</v>
      </c>
      <c r="M122" s="10" t="str">
        <f>TEXT(Table1[[#This Row],[Order date ]],"MMM")</f>
        <v>Apr</v>
      </c>
      <c r="N122" s="10" t="str">
        <f>TEXT(Table1[[#This Row],[Order date ]],"DDD")</f>
        <v>Fri</v>
      </c>
      <c r="O122" s="10" t="str">
        <f>_xlfn.CONCAT("Q",ROUNDUP(Table1[[#This Row],[Month]]/3,0))</f>
        <v>Q2</v>
      </c>
      <c r="P122" s="12">
        <f>Table1[[#This Row],[Amount]]*Table1[[#This Row],[Units]]</f>
        <v>1702260</v>
      </c>
      <c r="Q122" s="13" t="str">
        <f>IF(Table1[[#This Row],[Total Sales]]&lt;AVERAGE(Table1[Total Sales]),"Low","High")</f>
        <v>High</v>
      </c>
    </row>
    <row r="123" spans="5:17" x14ac:dyDescent="0.3">
      <c r="E123" s="10">
        <v>119</v>
      </c>
      <c r="F123" s="10" t="s">
        <v>28</v>
      </c>
      <c r="G123" s="10" t="s">
        <v>40</v>
      </c>
      <c r="H123" s="10" t="s">
        <v>11</v>
      </c>
      <c r="I123" s="10">
        <v>11571</v>
      </c>
      <c r="J123" s="10">
        <v>138</v>
      </c>
      <c r="K123" s="11">
        <v>45045</v>
      </c>
      <c r="L123" s="13">
        <f>MONTH(Table1[[#This Row],[Order date ]])</f>
        <v>4</v>
      </c>
      <c r="M123" s="10" t="str">
        <f>TEXT(Table1[[#This Row],[Order date ]],"MMM")</f>
        <v>Apr</v>
      </c>
      <c r="N123" s="10" t="str">
        <f>TEXT(Table1[[#This Row],[Order date ]],"DDD")</f>
        <v>Sat</v>
      </c>
      <c r="O123" s="10" t="str">
        <f>_xlfn.CONCAT("Q",ROUNDUP(Table1[[#This Row],[Month]]/3,0))</f>
        <v>Q2</v>
      </c>
      <c r="P123" s="12">
        <f>Table1[[#This Row],[Amount]]*Table1[[#This Row],[Units]]</f>
        <v>1596798</v>
      </c>
      <c r="Q123" s="13" t="str">
        <f>IF(Table1[[#This Row],[Total Sales]]&lt;AVERAGE(Table1[Total Sales]),"Low","High")</f>
        <v>High</v>
      </c>
    </row>
    <row r="124" spans="5:17" x14ac:dyDescent="0.3">
      <c r="E124" s="10">
        <v>120</v>
      </c>
      <c r="F124" s="10" t="s">
        <v>36</v>
      </c>
      <c r="G124" s="10" t="s">
        <v>37</v>
      </c>
      <c r="H124" s="10" t="s">
        <v>18</v>
      </c>
      <c r="I124" s="10">
        <v>2541</v>
      </c>
      <c r="J124" s="10">
        <v>90</v>
      </c>
      <c r="K124" s="11">
        <v>45046</v>
      </c>
      <c r="L124" s="13">
        <f>MONTH(Table1[[#This Row],[Order date ]])</f>
        <v>4</v>
      </c>
      <c r="M124" s="10" t="str">
        <f>TEXT(Table1[[#This Row],[Order date ]],"MMM")</f>
        <v>Apr</v>
      </c>
      <c r="N124" s="10" t="str">
        <f>TEXT(Table1[[#This Row],[Order date ]],"DDD")</f>
        <v>Sun</v>
      </c>
      <c r="O124" s="10" t="str">
        <f>_xlfn.CONCAT("Q",ROUNDUP(Table1[[#This Row],[Month]]/3,0))</f>
        <v>Q2</v>
      </c>
      <c r="P124" s="12">
        <f>Table1[[#This Row],[Amount]]*Table1[[#This Row],[Units]]</f>
        <v>228690</v>
      </c>
      <c r="Q124" s="13" t="str">
        <f>IF(Table1[[#This Row],[Total Sales]]&lt;AVERAGE(Table1[Total Sales]),"Low","High")</f>
        <v>Low</v>
      </c>
    </row>
    <row r="125" spans="5:17" x14ac:dyDescent="0.3">
      <c r="E125" s="10">
        <v>121</v>
      </c>
      <c r="F125" s="10" t="s">
        <v>30</v>
      </c>
      <c r="G125" s="10" t="s">
        <v>40</v>
      </c>
      <c r="H125" s="10" t="s">
        <v>23</v>
      </c>
      <c r="I125" s="10">
        <v>1526</v>
      </c>
      <c r="J125" s="10">
        <v>240</v>
      </c>
      <c r="K125" s="11">
        <v>45047</v>
      </c>
      <c r="L125" s="13">
        <f>MONTH(Table1[[#This Row],[Order date ]])</f>
        <v>5</v>
      </c>
      <c r="M125" s="10" t="str">
        <f>TEXT(Table1[[#This Row],[Order date ]],"MMM")</f>
        <v>May</v>
      </c>
      <c r="N125" s="10" t="str">
        <f>TEXT(Table1[[#This Row],[Order date ]],"DDD")</f>
        <v>Mon</v>
      </c>
      <c r="O125" s="10" t="str">
        <f>_xlfn.CONCAT("Q",ROUNDUP(Table1[[#This Row],[Month]]/3,0))</f>
        <v>Q2</v>
      </c>
      <c r="P125" s="12">
        <f>Table1[[#This Row],[Amount]]*Table1[[#This Row],[Units]]</f>
        <v>366240</v>
      </c>
      <c r="Q125" s="13" t="str">
        <f>IF(Table1[[#This Row],[Total Sales]]&lt;AVERAGE(Table1[Total Sales]),"Low","High")</f>
        <v>Low</v>
      </c>
    </row>
    <row r="126" spans="5:17" x14ac:dyDescent="0.3">
      <c r="E126" s="10">
        <v>122</v>
      </c>
      <c r="F126" s="10" t="s">
        <v>36</v>
      </c>
      <c r="G126" s="10" t="s">
        <v>37</v>
      </c>
      <c r="H126" s="10" t="s">
        <v>2</v>
      </c>
      <c r="I126" s="10">
        <v>6125</v>
      </c>
      <c r="J126" s="10">
        <v>102</v>
      </c>
      <c r="K126" s="11">
        <v>45048</v>
      </c>
      <c r="L126" s="13">
        <f>MONTH(Table1[[#This Row],[Order date ]])</f>
        <v>5</v>
      </c>
      <c r="M126" s="10" t="str">
        <f>TEXT(Table1[[#This Row],[Order date ]],"MMM")</f>
        <v>May</v>
      </c>
      <c r="N126" s="10" t="str">
        <f>TEXT(Table1[[#This Row],[Order date ]],"DDD")</f>
        <v>Tue</v>
      </c>
      <c r="O126" s="10" t="str">
        <f>_xlfn.CONCAT("Q",ROUNDUP(Table1[[#This Row],[Month]]/3,0))</f>
        <v>Q2</v>
      </c>
      <c r="P126" s="12">
        <f>Table1[[#This Row],[Amount]]*Table1[[#This Row],[Units]]</f>
        <v>624750</v>
      </c>
      <c r="Q126" s="13" t="str">
        <f>IF(Table1[[#This Row],[Total Sales]]&lt;AVERAGE(Table1[Total Sales]),"Low","High")</f>
        <v>Low</v>
      </c>
    </row>
    <row r="127" spans="5:17" x14ac:dyDescent="0.3">
      <c r="E127" s="10">
        <v>123</v>
      </c>
      <c r="F127" s="10" t="s">
        <v>30</v>
      </c>
      <c r="G127" s="10" t="s">
        <v>45</v>
      </c>
      <c r="H127" s="10" t="s">
        <v>20</v>
      </c>
      <c r="I127" s="10">
        <v>847</v>
      </c>
      <c r="J127" s="10">
        <v>129</v>
      </c>
      <c r="K127" s="11">
        <v>45049</v>
      </c>
      <c r="L127" s="13">
        <f>MONTH(Table1[[#This Row],[Order date ]])</f>
        <v>5</v>
      </c>
      <c r="M127" s="10" t="str">
        <f>TEXT(Table1[[#This Row],[Order date ]],"MMM")</f>
        <v>May</v>
      </c>
      <c r="N127" s="10" t="str">
        <f>TEXT(Table1[[#This Row],[Order date ]],"DDD")</f>
        <v>Wed</v>
      </c>
      <c r="O127" s="10" t="str">
        <f>_xlfn.CONCAT("Q",ROUNDUP(Table1[[#This Row],[Month]]/3,0))</f>
        <v>Q2</v>
      </c>
      <c r="P127" s="12">
        <f>Table1[[#This Row],[Amount]]*Table1[[#This Row],[Units]]</f>
        <v>109263</v>
      </c>
      <c r="Q127" s="13" t="str">
        <f>IF(Table1[[#This Row],[Total Sales]]&lt;AVERAGE(Table1[Total Sales]),"Low","High")</f>
        <v>Low</v>
      </c>
    </row>
    <row r="128" spans="5:17" x14ac:dyDescent="0.3">
      <c r="E128" s="10">
        <v>124</v>
      </c>
      <c r="F128" s="10" t="s">
        <v>29</v>
      </c>
      <c r="G128" s="10" t="s">
        <v>45</v>
      </c>
      <c r="H128" s="10" t="s">
        <v>20</v>
      </c>
      <c r="I128" s="10">
        <v>4753</v>
      </c>
      <c r="J128" s="10">
        <v>300</v>
      </c>
      <c r="K128" s="11">
        <v>45050</v>
      </c>
      <c r="L128" s="13">
        <f>MONTH(Table1[[#This Row],[Order date ]])</f>
        <v>5</v>
      </c>
      <c r="M128" s="10" t="str">
        <f>TEXT(Table1[[#This Row],[Order date ]],"MMM")</f>
        <v>May</v>
      </c>
      <c r="N128" s="10" t="str">
        <f>TEXT(Table1[[#This Row],[Order date ]],"DDD")</f>
        <v>Thu</v>
      </c>
      <c r="O128" s="10" t="str">
        <f>_xlfn.CONCAT("Q",ROUNDUP(Table1[[#This Row],[Month]]/3,0))</f>
        <v>Q2</v>
      </c>
      <c r="P128" s="12">
        <f>Table1[[#This Row],[Amount]]*Table1[[#This Row],[Units]]</f>
        <v>1425900</v>
      </c>
      <c r="Q128" s="13" t="str">
        <f>IF(Table1[[#This Row],[Total Sales]]&lt;AVERAGE(Table1[Total Sales]),"Low","High")</f>
        <v>High</v>
      </c>
    </row>
    <row r="129" spans="5:17" x14ac:dyDescent="0.3">
      <c r="E129" s="10">
        <v>125</v>
      </c>
      <c r="F129" s="10" t="s">
        <v>32</v>
      </c>
      <c r="G129" s="10" t="s">
        <v>37</v>
      </c>
      <c r="H129" s="10" t="s">
        <v>26</v>
      </c>
      <c r="I129" s="10">
        <v>959</v>
      </c>
      <c r="J129" s="10">
        <v>135</v>
      </c>
      <c r="K129" s="11">
        <v>45051</v>
      </c>
      <c r="L129" s="13">
        <f>MONTH(Table1[[#This Row],[Order date ]])</f>
        <v>5</v>
      </c>
      <c r="M129" s="10" t="str">
        <f>TEXT(Table1[[#This Row],[Order date ]],"MMM")</f>
        <v>May</v>
      </c>
      <c r="N129" s="10" t="str">
        <f>TEXT(Table1[[#This Row],[Order date ]],"DDD")</f>
        <v>Fri</v>
      </c>
      <c r="O129" s="10" t="str">
        <f>_xlfn.CONCAT("Q",ROUNDUP(Table1[[#This Row],[Month]]/3,0))</f>
        <v>Q2</v>
      </c>
      <c r="P129" s="12">
        <f>Table1[[#This Row],[Amount]]*Table1[[#This Row],[Units]]</f>
        <v>129465</v>
      </c>
      <c r="Q129" s="13" t="str">
        <f>IF(Table1[[#This Row],[Total Sales]]&lt;AVERAGE(Table1[Total Sales]),"Low","High")</f>
        <v>Low</v>
      </c>
    </row>
    <row r="130" spans="5:17" x14ac:dyDescent="0.3">
      <c r="E130" s="10">
        <v>126</v>
      </c>
      <c r="F130" s="10" t="s">
        <v>31</v>
      </c>
      <c r="G130" s="10" t="s">
        <v>45</v>
      </c>
      <c r="H130" s="10" t="s">
        <v>17</v>
      </c>
      <c r="I130" s="10">
        <v>2793</v>
      </c>
      <c r="J130" s="10">
        <v>114</v>
      </c>
      <c r="K130" s="11">
        <v>45052</v>
      </c>
      <c r="L130" s="13">
        <f>MONTH(Table1[[#This Row],[Order date ]])</f>
        <v>5</v>
      </c>
      <c r="M130" s="10" t="str">
        <f>TEXT(Table1[[#This Row],[Order date ]],"MMM")</f>
        <v>May</v>
      </c>
      <c r="N130" s="10" t="str">
        <f>TEXT(Table1[[#This Row],[Order date ]],"DDD")</f>
        <v>Sat</v>
      </c>
      <c r="O130" s="10" t="str">
        <f>_xlfn.CONCAT("Q",ROUNDUP(Table1[[#This Row],[Month]]/3,0))</f>
        <v>Q2</v>
      </c>
      <c r="P130" s="12">
        <f>Table1[[#This Row],[Amount]]*Table1[[#This Row],[Units]]</f>
        <v>318402</v>
      </c>
      <c r="Q130" s="13" t="str">
        <f>IF(Table1[[#This Row],[Total Sales]]&lt;AVERAGE(Table1[Total Sales]),"Low","High")</f>
        <v>Low</v>
      </c>
    </row>
    <row r="131" spans="5:17" x14ac:dyDescent="0.3">
      <c r="E131" s="10">
        <v>127</v>
      </c>
      <c r="F131" s="10" t="s">
        <v>31</v>
      </c>
      <c r="G131" s="10" t="s">
        <v>45</v>
      </c>
      <c r="H131" s="10" t="s">
        <v>7</v>
      </c>
      <c r="I131" s="10">
        <v>4606</v>
      </c>
      <c r="J131" s="10">
        <v>63</v>
      </c>
      <c r="K131" s="11">
        <v>45053</v>
      </c>
      <c r="L131" s="13">
        <f>MONTH(Table1[[#This Row],[Order date ]])</f>
        <v>5</v>
      </c>
      <c r="M131" s="10" t="str">
        <f>TEXT(Table1[[#This Row],[Order date ]],"MMM")</f>
        <v>May</v>
      </c>
      <c r="N131" s="10" t="str">
        <f>TEXT(Table1[[#This Row],[Order date ]],"DDD")</f>
        <v>Sun</v>
      </c>
      <c r="O131" s="10" t="str">
        <f>_xlfn.CONCAT("Q",ROUNDUP(Table1[[#This Row],[Month]]/3,0))</f>
        <v>Q2</v>
      </c>
      <c r="P131" s="12">
        <f>Table1[[#This Row],[Amount]]*Table1[[#This Row],[Units]]</f>
        <v>290178</v>
      </c>
      <c r="Q131" s="13" t="str">
        <f>IF(Table1[[#This Row],[Total Sales]]&lt;AVERAGE(Table1[Total Sales]),"Low","High")</f>
        <v>Low</v>
      </c>
    </row>
    <row r="132" spans="5:17" x14ac:dyDescent="0.3">
      <c r="E132" s="10">
        <v>128</v>
      </c>
      <c r="F132" s="10" t="s">
        <v>31</v>
      </c>
      <c r="G132" s="10" t="s">
        <v>38</v>
      </c>
      <c r="H132" s="10" t="s">
        <v>22</v>
      </c>
      <c r="I132" s="10">
        <v>5551</v>
      </c>
      <c r="J132" s="10">
        <v>252</v>
      </c>
      <c r="K132" s="11">
        <v>45054</v>
      </c>
      <c r="L132" s="13">
        <f>MONTH(Table1[[#This Row],[Order date ]])</f>
        <v>5</v>
      </c>
      <c r="M132" s="10" t="str">
        <f>TEXT(Table1[[#This Row],[Order date ]],"MMM")</f>
        <v>May</v>
      </c>
      <c r="N132" s="10" t="str">
        <f>TEXT(Table1[[#This Row],[Order date ]],"DDD")</f>
        <v>Mon</v>
      </c>
      <c r="O132" s="10" t="str">
        <f>_xlfn.CONCAT("Q",ROUNDUP(Table1[[#This Row],[Month]]/3,0))</f>
        <v>Q2</v>
      </c>
      <c r="P132" s="12">
        <f>Table1[[#This Row],[Amount]]*Table1[[#This Row],[Units]]</f>
        <v>1398852</v>
      </c>
      <c r="Q132" s="13" t="str">
        <f>IF(Table1[[#This Row],[Total Sales]]&lt;AVERAGE(Table1[Total Sales]),"Low","High")</f>
        <v>High</v>
      </c>
    </row>
    <row r="133" spans="5:17" x14ac:dyDescent="0.3">
      <c r="E133" s="10">
        <v>129</v>
      </c>
      <c r="F133" s="10" t="s">
        <v>35</v>
      </c>
      <c r="G133" s="10" t="s">
        <v>38</v>
      </c>
      <c r="H133" s="10" t="s">
        <v>25</v>
      </c>
      <c r="I133" s="10">
        <v>6657</v>
      </c>
      <c r="J133" s="10">
        <v>303</v>
      </c>
      <c r="K133" s="11">
        <v>45055</v>
      </c>
      <c r="L133" s="13">
        <f>MONTH(Table1[[#This Row],[Order date ]])</f>
        <v>5</v>
      </c>
      <c r="M133" s="10" t="str">
        <f>TEXT(Table1[[#This Row],[Order date ]],"MMM")</f>
        <v>May</v>
      </c>
      <c r="N133" s="10" t="str">
        <f>TEXT(Table1[[#This Row],[Order date ]],"DDD")</f>
        <v>Tue</v>
      </c>
      <c r="O133" s="10" t="str">
        <f>_xlfn.CONCAT("Q",ROUNDUP(Table1[[#This Row],[Month]]/3,0))</f>
        <v>Q2</v>
      </c>
      <c r="P133" s="12">
        <f>Table1[[#This Row],[Amount]]*Table1[[#This Row],[Units]]</f>
        <v>2017071</v>
      </c>
      <c r="Q133" s="13" t="str">
        <f>IF(Table1[[#This Row],[Total Sales]]&lt;AVERAGE(Table1[Total Sales]),"Low","High")</f>
        <v>High</v>
      </c>
    </row>
    <row r="134" spans="5:17" x14ac:dyDescent="0.3">
      <c r="E134" s="10">
        <v>130</v>
      </c>
      <c r="F134" s="10" t="s">
        <v>31</v>
      </c>
      <c r="G134" s="10" t="s">
        <v>43</v>
      </c>
      <c r="H134" s="10" t="s">
        <v>10</v>
      </c>
      <c r="I134" s="10">
        <v>4438</v>
      </c>
      <c r="J134" s="10">
        <v>246</v>
      </c>
      <c r="K134" s="11">
        <v>45056</v>
      </c>
      <c r="L134" s="13">
        <f>MONTH(Table1[[#This Row],[Order date ]])</f>
        <v>5</v>
      </c>
      <c r="M134" s="10" t="str">
        <f>TEXT(Table1[[#This Row],[Order date ]],"MMM")</f>
        <v>May</v>
      </c>
      <c r="N134" s="10" t="str">
        <f>TEXT(Table1[[#This Row],[Order date ]],"DDD")</f>
        <v>Wed</v>
      </c>
      <c r="O134" s="10" t="str">
        <f>_xlfn.CONCAT("Q",ROUNDUP(Table1[[#This Row],[Month]]/3,0))</f>
        <v>Q2</v>
      </c>
      <c r="P134" s="12">
        <f>Table1[[#This Row],[Amount]]*Table1[[#This Row],[Units]]</f>
        <v>1091748</v>
      </c>
      <c r="Q134" s="13" t="str">
        <f>IF(Table1[[#This Row],[Total Sales]]&lt;AVERAGE(Table1[Total Sales]),"Low","High")</f>
        <v>High</v>
      </c>
    </row>
    <row r="135" spans="5:17" x14ac:dyDescent="0.3">
      <c r="E135" s="10">
        <v>131</v>
      </c>
      <c r="F135" s="10" t="s">
        <v>29</v>
      </c>
      <c r="G135" s="10" t="s">
        <v>37</v>
      </c>
      <c r="H135" s="10" t="s">
        <v>15</v>
      </c>
      <c r="I135" s="10">
        <v>168</v>
      </c>
      <c r="J135" s="10">
        <v>84</v>
      </c>
      <c r="K135" s="11">
        <v>45057</v>
      </c>
      <c r="L135" s="13">
        <f>MONTH(Table1[[#This Row],[Order date ]])</f>
        <v>5</v>
      </c>
      <c r="M135" s="10" t="str">
        <f>TEXT(Table1[[#This Row],[Order date ]],"MMM")</f>
        <v>May</v>
      </c>
      <c r="N135" s="10" t="str">
        <f>TEXT(Table1[[#This Row],[Order date ]],"DDD")</f>
        <v>Thu</v>
      </c>
      <c r="O135" s="10" t="str">
        <f>_xlfn.CONCAT("Q",ROUNDUP(Table1[[#This Row],[Month]]/3,0))</f>
        <v>Q2</v>
      </c>
      <c r="P135" s="12">
        <f>Table1[[#This Row],[Amount]]*Table1[[#This Row],[Units]]</f>
        <v>14112</v>
      </c>
      <c r="Q135" s="13" t="str">
        <f>IF(Table1[[#This Row],[Total Sales]]&lt;AVERAGE(Table1[Total Sales]),"Low","High")</f>
        <v>Low</v>
      </c>
    </row>
    <row r="136" spans="5:17" x14ac:dyDescent="0.3">
      <c r="E136" s="10">
        <v>132</v>
      </c>
      <c r="F136" s="10" t="s">
        <v>31</v>
      </c>
      <c r="G136" s="10" t="s">
        <v>39</v>
      </c>
      <c r="H136" s="10" t="s">
        <v>10</v>
      </c>
      <c r="I136" s="10">
        <v>7777</v>
      </c>
      <c r="J136" s="10">
        <v>39</v>
      </c>
      <c r="K136" s="11">
        <v>45058</v>
      </c>
      <c r="L136" s="13">
        <f>MONTH(Table1[[#This Row],[Order date ]])</f>
        <v>5</v>
      </c>
      <c r="M136" s="10" t="str">
        <f>TEXT(Table1[[#This Row],[Order date ]],"MMM")</f>
        <v>May</v>
      </c>
      <c r="N136" s="10" t="str">
        <f>TEXT(Table1[[#This Row],[Order date ]],"DDD")</f>
        <v>Fri</v>
      </c>
      <c r="O136" s="10" t="str">
        <f>_xlfn.CONCAT("Q",ROUNDUP(Table1[[#This Row],[Month]]/3,0))</f>
        <v>Q2</v>
      </c>
      <c r="P136" s="12">
        <f>Table1[[#This Row],[Amount]]*Table1[[#This Row],[Units]]</f>
        <v>303303</v>
      </c>
      <c r="Q136" s="13" t="str">
        <f>IF(Table1[[#This Row],[Total Sales]]&lt;AVERAGE(Table1[Total Sales]),"Low","High")</f>
        <v>Low</v>
      </c>
    </row>
    <row r="137" spans="5:17" x14ac:dyDescent="0.3">
      <c r="E137" s="10">
        <v>133</v>
      </c>
      <c r="F137" s="10" t="s">
        <v>33</v>
      </c>
      <c r="G137" s="10" t="s">
        <v>38</v>
      </c>
      <c r="H137" s="10" t="s">
        <v>10</v>
      </c>
      <c r="I137" s="10">
        <v>3339</v>
      </c>
      <c r="J137" s="10">
        <v>348</v>
      </c>
      <c r="K137" s="11">
        <v>45059</v>
      </c>
      <c r="L137" s="13">
        <f>MONTH(Table1[[#This Row],[Order date ]])</f>
        <v>5</v>
      </c>
      <c r="M137" s="10" t="str">
        <f>TEXT(Table1[[#This Row],[Order date ]],"MMM")</f>
        <v>May</v>
      </c>
      <c r="N137" s="10" t="str">
        <f>TEXT(Table1[[#This Row],[Order date ]],"DDD")</f>
        <v>Sat</v>
      </c>
      <c r="O137" s="10" t="str">
        <f>_xlfn.CONCAT("Q",ROUNDUP(Table1[[#This Row],[Month]]/3,0))</f>
        <v>Q2</v>
      </c>
      <c r="P137" s="12">
        <f>Table1[[#This Row],[Amount]]*Table1[[#This Row],[Units]]</f>
        <v>1161972</v>
      </c>
      <c r="Q137" s="13" t="str">
        <f>IF(Table1[[#This Row],[Total Sales]]&lt;AVERAGE(Table1[Total Sales]),"Low","High")</f>
        <v>High</v>
      </c>
    </row>
    <row r="138" spans="5:17" x14ac:dyDescent="0.3">
      <c r="E138" s="10">
        <v>134</v>
      </c>
      <c r="F138" s="10" t="s">
        <v>31</v>
      </c>
      <c r="G138" s="10" t="s">
        <v>40</v>
      </c>
      <c r="H138" s="10" t="s">
        <v>26</v>
      </c>
      <c r="I138" s="10">
        <v>6391</v>
      </c>
      <c r="J138" s="10">
        <v>48</v>
      </c>
      <c r="K138" s="11">
        <v>45060</v>
      </c>
      <c r="L138" s="13">
        <f>MONTH(Table1[[#This Row],[Order date ]])</f>
        <v>5</v>
      </c>
      <c r="M138" s="10" t="str">
        <f>TEXT(Table1[[#This Row],[Order date ]],"MMM")</f>
        <v>May</v>
      </c>
      <c r="N138" s="10" t="str">
        <f>TEXT(Table1[[#This Row],[Order date ]],"DDD")</f>
        <v>Sun</v>
      </c>
      <c r="O138" s="10" t="str">
        <f>_xlfn.CONCAT("Q",ROUNDUP(Table1[[#This Row],[Month]]/3,0))</f>
        <v>Q2</v>
      </c>
      <c r="P138" s="12">
        <f>Table1[[#This Row],[Amount]]*Table1[[#This Row],[Units]]</f>
        <v>306768</v>
      </c>
      <c r="Q138" s="13" t="str">
        <f>IF(Table1[[#This Row],[Total Sales]]&lt;AVERAGE(Table1[Total Sales]),"Low","High")</f>
        <v>Low</v>
      </c>
    </row>
    <row r="139" spans="5:17" x14ac:dyDescent="0.3">
      <c r="E139" s="10">
        <v>135</v>
      </c>
      <c r="F139" s="10" t="s">
        <v>33</v>
      </c>
      <c r="G139" s="10" t="s">
        <v>40</v>
      </c>
      <c r="H139" s="10" t="s">
        <v>15</v>
      </c>
      <c r="I139" s="10">
        <v>518</v>
      </c>
      <c r="J139" s="10">
        <v>75</v>
      </c>
      <c r="K139" s="11">
        <v>45061</v>
      </c>
      <c r="L139" s="13">
        <f>MONTH(Table1[[#This Row],[Order date ]])</f>
        <v>5</v>
      </c>
      <c r="M139" s="10" t="str">
        <f>TEXT(Table1[[#This Row],[Order date ]],"MMM")</f>
        <v>May</v>
      </c>
      <c r="N139" s="10" t="str">
        <f>TEXT(Table1[[#This Row],[Order date ]],"DDD")</f>
        <v>Mon</v>
      </c>
      <c r="O139" s="10" t="str">
        <f>_xlfn.CONCAT("Q",ROUNDUP(Table1[[#This Row],[Month]]/3,0))</f>
        <v>Q2</v>
      </c>
      <c r="P139" s="12">
        <f>Table1[[#This Row],[Amount]]*Table1[[#This Row],[Units]]</f>
        <v>38850</v>
      </c>
      <c r="Q139" s="13" t="str">
        <f>IF(Table1[[#This Row],[Total Sales]]&lt;AVERAGE(Table1[Total Sales]),"Low","High")</f>
        <v>Low</v>
      </c>
    </row>
    <row r="140" spans="5:17" x14ac:dyDescent="0.3">
      <c r="E140" s="10">
        <v>136</v>
      </c>
      <c r="F140" s="10" t="s">
        <v>31</v>
      </c>
      <c r="G140" s="10" t="s">
        <v>37</v>
      </c>
      <c r="H140" s="10" t="s">
        <v>21</v>
      </c>
      <c r="I140" s="10">
        <v>5677</v>
      </c>
      <c r="J140" s="10">
        <v>258</v>
      </c>
      <c r="K140" s="11">
        <v>45062</v>
      </c>
      <c r="L140" s="13">
        <f>MONTH(Table1[[#This Row],[Order date ]])</f>
        <v>5</v>
      </c>
      <c r="M140" s="10" t="str">
        <f>TEXT(Table1[[#This Row],[Order date ]],"MMM")</f>
        <v>May</v>
      </c>
      <c r="N140" s="10" t="str">
        <f>TEXT(Table1[[#This Row],[Order date ]],"DDD")</f>
        <v>Tue</v>
      </c>
      <c r="O140" s="10" t="str">
        <f>_xlfn.CONCAT("Q",ROUNDUP(Table1[[#This Row],[Month]]/3,0))</f>
        <v>Q2</v>
      </c>
      <c r="P140" s="12">
        <f>Table1[[#This Row],[Amount]]*Table1[[#This Row],[Units]]</f>
        <v>1464666</v>
      </c>
      <c r="Q140" s="13" t="str">
        <f>IF(Table1[[#This Row],[Total Sales]]&lt;AVERAGE(Table1[Total Sales]),"Low","High")</f>
        <v>High</v>
      </c>
    </row>
    <row r="141" spans="5:17" x14ac:dyDescent="0.3">
      <c r="E141" s="10">
        <v>137</v>
      </c>
      <c r="F141" s="10" t="s">
        <v>32</v>
      </c>
      <c r="G141" s="10" t="s">
        <v>43</v>
      </c>
      <c r="H141" s="10" t="s">
        <v>10</v>
      </c>
      <c r="I141" s="10">
        <v>6048</v>
      </c>
      <c r="J141" s="10">
        <v>27</v>
      </c>
      <c r="K141" s="11">
        <v>45063</v>
      </c>
      <c r="L141" s="13">
        <f>MONTH(Table1[[#This Row],[Order date ]])</f>
        <v>5</v>
      </c>
      <c r="M141" s="10" t="str">
        <f>TEXT(Table1[[#This Row],[Order date ]],"MMM")</f>
        <v>May</v>
      </c>
      <c r="N141" s="10" t="str">
        <f>TEXT(Table1[[#This Row],[Order date ]],"DDD")</f>
        <v>Wed</v>
      </c>
      <c r="O141" s="10" t="str">
        <f>_xlfn.CONCAT("Q",ROUNDUP(Table1[[#This Row],[Month]]/3,0))</f>
        <v>Q2</v>
      </c>
      <c r="P141" s="12">
        <f>Table1[[#This Row],[Amount]]*Table1[[#This Row],[Units]]</f>
        <v>163296</v>
      </c>
      <c r="Q141" s="13" t="str">
        <f>IF(Table1[[#This Row],[Total Sales]]&lt;AVERAGE(Table1[Total Sales]),"Low","High")</f>
        <v>Low</v>
      </c>
    </row>
    <row r="142" spans="5:17" x14ac:dyDescent="0.3">
      <c r="E142" s="10">
        <v>138</v>
      </c>
      <c r="F142" s="10" t="s">
        <v>29</v>
      </c>
      <c r="G142" s="10" t="s">
        <v>37</v>
      </c>
      <c r="H142" s="10" t="s">
        <v>25</v>
      </c>
      <c r="I142" s="10">
        <v>3752</v>
      </c>
      <c r="J142" s="10">
        <v>213</v>
      </c>
      <c r="K142" s="11">
        <v>45064</v>
      </c>
      <c r="L142" s="13">
        <f>MONTH(Table1[[#This Row],[Order date ]])</f>
        <v>5</v>
      </c>
      <c r="M142" s="10" t="str">
        <f>TEXT(Table1[[#This Row],[Order date ]],"MMM")</f>
        <v>May</v>
      </c>
      <c r="N142" s="10" t="str">
        <f>TEXT(Table1[[#This Row],[Order date ]],"DDD")</f>
        <v>Thu</v>
      </c>
      <c r="O142" s="10" t="str">
        <f>_xlfn.CONCAT("Q",ROUNDUP(Table1[[#This Row],[Month]]/3,0))</f>
        <v>Q2</v>
      </c>
      <c r="P142" s="12">
        <f>Table1[[#This Row],[Amount]]*Table1[[#This Row],[Units]]</f>
        <v>799176</v>
      </c>
      <c r="Q142" s="13" t="str">
        <f>IF(Table1[[#This Row],[Total Sales]]&lt;AVERAGE(Table1[Total Sales]),"Low","High")</f>
        <v>High</v>
      </c>
    </row>
    <row r="143" spans="5:17" x14ac:dyDescent="0.3">
      <c r="E143" s="10">
        <v>139</v>
      </c>
      <c r="F143" s="10" t="s">
        <v>33</v>
      </c>
      <c r="G143" s="10" t="s">
        <v>45</v>
      </c>
      <c r="H143" s="10" t="s">
        <v>22</v>
      </c>
      <c r="I143" s="10">
        <v>4480</v>
      </c>
      <c r="J143" s="10">
        <v>357</v>
      </c>
      <c r="K143" s="11">
        <v>45065</v>
      </c>
      <c r="L143" s="13">
        <f>MONTH(Table1[[#This Row],[Order date ]])</f>
        <v>5</v>
      </c>
      <c r="M143" s="10" t="str">
        <f>TEXT(Table1[[#This Row],[Order date ]],"MMM")</f>
        <v>May</v>
      </c>
      <c r="N143" s="10" t="str">
        <f>TEXT(Table1[[#This Row],[Order date ]],"DDD")</f>
        <v>Fri</v>
      </c>
      <c r="O143" s="10" t="str">
        <f>_xlfn.CONCAT("Q",ROUNDUP(Table1[[#This Row],[Month]]/3,0))</f>
        <v>Q2</v>
      </c>
      <c r="P143" s="12">
        <f>Table1[[#This Row],[Amount]]*Table1[[#This Row],[Units]]</f>
        <v>1599360</v>
      </c>
      <c r="Q143" s="13" t="str">
        <f>IF(Table1[[#This Row],[Total Sales]]&lt;AVERAGE(Table1[Total Sales]),"Low","High")</f>
        <v>High</v>
      </c>
    </row>
    <row r="144" spans="5:17" x14ac:dyDescent="0.3">
      <c r="E144" s="10">
        <v>140</v>
      </c>
      <c r="F144" s="10" t="s">
        <v>3</v>
      </c>
      <c r="G144" s="10" t="s">
        <v>40</v>
      </c>
      <c r="H144" s="10" t="s">
        <v>2</v>
      </c>
      <c r="I144" s="10">
        <v>259</v>
      </c>
      <c r="J144" s="10">
        <v>207</v>
      </c>
      <c r="K144" s="11">
        <v>45066</v>
      </c>
      <c r="L144" s="13">
        <f>MONTH(Table1[[#This Row],[Order date ]])</f>
        <v>5</v>
      </c>
      <c r="M144" s="10" t="str">
        <f>TEXT(Table1[[#This Row],[Order date ]],"MMM")</f>
        <v>May</v>
      </c>
      <c r="N144" s="10" t="str">
        <f>TEXT(Table1[[#This Row],[Order date ]],"DDD")</f>
        <v>Sat</v>
      </c>
      <c r="O144" s="10" t="str">
        <f>_xlfn.CONCAT("Q",ROUNDUP(Table1[[#This Row],[Month]]/3,0))</f>
        <v>Q2</v>
      </c>
      <c r="P144" s="12">
        <f>Table1[[#This Row],[Amount]]*Table1[[#This Row],[Units]]</f>
        <v>53613</v>
      </c>
      <c r="Q144" s="13" t="str">
        <f>IF(Table1[[#This Row],[Total Sales]]&lt;AVERAGE(Table1[Total Sales]),"Low","High")</f>
        <v>Low</v>
      </c>
    </row>
    <row r="145" spans="5:17" x14ac:dyDescent="0.3">
      <c r="E145" s="10">
        <v>141</v>
      </c>
      <c r="F145" s="10" t="s">
        <v>29</v>
      </c>
      <c r="G145" s="10" t="s">
        <v>40</v>
      </c>
      <c r="H145" s="10" t="s">
        <v>23</v>
      </c>
      <c r="I145" s="10">
        <v>42</v>
      </c>
      <c r="J145" s="10">
        <v>150</v>
      </c>
      <c r="K145" s="11">
        <v>45067</v>
      </c>
      <c r="L145" s="13">
        <f>MONTH(Table1[[#This Row],[Order date ]])</f>
        <v>5</v>
      </c>
      <c r="M145" s="10" t="str">
        <f>TEXT(Table1[[#This Row],[Order date ]],"MMM")</f>
        <v>May</v>
      </c>
      <c r="N145" s="10" t="str">
        <f>TEXT(Table1[[#This Row],[Order date ]],"DDD")</f>
        <v>Sun</v>
      </c>
      <c r="O145" s="10" t="str">
        <f>_xlfn.CONCAT("Q",ROUNDUP(Table1[[#This Row],[Month]]/3,0))</f>
        <v>Q2</v>
      </c>
      <c r="P145" s="12">
        <f>Table1[[#This Row],[Amount]]*Table1[[#This Row],[Units]]</f>
        <v>6300</v>
      </c>
      <c r="Q145" s="13" t="str">
        <f>IF(Table1[[#This Row],[Total Sales]]&lt;AVERAGE(Table1[Total Sales]),"Low","High")</f>
        <v>Low</v>
      </c>
    </row>
    <row r="146" spans="5:17" x14ac:dyDescent="0.3">
      <c r="E146" s="10">
        <v>142</v>
      </c>
      <c r="F146" s="10" t="s">
        <v>30</v>
      </c>
      <c r="G146" s="10" t="s">
        <v>38</v>
      </c>
      <c r="H146" s="10" t="s">
        <v>19</v>
      </c>
      <c r="I146" s="10">
        <v>98</v>
      </c>
      <c r="J146" s="10">
        <v>204</v>
      </c>
      <c r="K146" s="11">
        <v>45068</v>
      </c>
      <c r="L146" s="13">
        <f>MONTH(Table1[[#This Row],[Order date ]])</f>
        <v>5</v>
      </c>
      <c r="M146" s="10" t="str">
        <f>TEXT(Table1[[#This Row],[Order date ]],"MMM")</f>
        <v>May</v>
      </c>
      <c r="N146" s="10" t="str">
        <f>TEXT(Table1[[#This Row],[Order date ]],"DDD")</f>
        <v>Mon</v>
      </c>
      <c r="O146" s="10" t="str">
        <f>_xlfn.CONCAT("Q",ROUNDUP(Table1[[#This Row],[Month]]/3,0))</f>
        <v>Q2</v>
      </c>
      <c r="P146" s="12">
        <f>Table1[[#This Row],[Amount]]*Table1[[#This Row],[Units]]</f>
        <v>19992</v>
      </c>
      <c r="Q146" s="13" t="str">
        <f>IF(Table1[[#This Row],[Total Sales]]&lt;AVERAGE(Table1[Total Sales]),"Low","High")</f>
        <v>Low</v>
      </c>
    </row>
    <row r="147" spans="5:17" x14ac:dyDescent="0.3">
      <c r="E147" s="10">
        <v>143</v>
      </c>
      <c r="F147" s="10" t="s">
        <v>31</v>
      </c>
      <c r="G147" s="10" t="s">
        <v>45</v>
      </c>
      <c r="H147" s="10" t="s">
        <v>20</v>
      </c>
      <c r="I147" s="10">
        <v>2478</v>
      </c>
      <c r="J147" s="10">
        <v>21</v>
      </c>
      <c r="K147" s="11">
        <v>45069</v>
      </c>
      <c r="L147" s="13">
        <f>MONTH(Table1[[#This Row],[Order date ]])</f>
        <v>5</v>
      </c>
      <c r="M147" s="10" t="str">
        <f>TEXT(Table1[[#This Row],[Order date ]],"MMM")</f>
        <v>May</v>
      </c>
      <c r="N147" s="10" t="str">
        <f>TEXT(Table1[[#This Row],[Order date ]],"DDD")</f>
        <v>Tue</v>
      </c>
      <c r="O147" s="10" t="str">
        <f>_xlfn.CONCAT("Q",ROUNDUP(Table1[[#This Row],[Month]]/3,0))</f>
        <v>Q2</v>
      </c>
      <c r="P147" s="12">
        <f>Table1[[#This Row],[Amount]]*Table1[[#This Row],[Units]]</f>
        <v>52038</v>
      </c>
      <c r="Q147" s="13" t="str">
        <f>IF(Table1[[#This Row],[Total Sales]]&lt;AVERAGE(Table1[Total Sales]),"Low","High")</f>
        <v>Low</v>
      </c>
    </row>
    <row r="148" spans="5:17" x14ac:dyDescent="0.3">
      <c r="E148" s="10">
        <v>144</v>
      </c>
      <c r="F148" s="10" t="s">
        <v>30</v>
      </c>
      <c r="G148" s="10" t="s">
        <v>39</v>
      </c>
      <c r="H148" s="10" t="s">
        <v>26</v>
      </c>
      <c r="I148" s="10">
        <v>7847</v>
      </c>
      <c r="J148" s="10">
        <v>174</v>
      </c>
      <c r="K148" s="11">
        <v>45070</v>
      </c>
      <c r="L148" s="13">
        <f>MONTH(Table1[[#This Row],[Order date ]])</f>
        <v>5</v>
      </c>
      <c r="M148" s="10" t="str">
        <f>TEXT(Table1[[#This Row],[Order date ]],"MMM")</f>
        <v>May</v>
      </c>
      <c r="N148" s="10" t="str">
        <f>TEXT(Table1[[#This Row],[Order date ]],"DDD")</f>
        <v>Wed</v>
      </c>
      <c r="O148" s="10" t="str">
        <f>_xlfn.CONCAT("Q",ROUNDUP(Table1[[#This Row],[Month]]/3,0))</f>
        <v>Q2</v>
      </c>
      <c r="P148" s="12">
        <f>Table1[[#This Row],[Amount]]*Table1[[#This Row],[Units]]</f>
        <v>1365378</v>
      </c>
      <c r="Q148" s="13" t="str">
        <f>IF(Table1[[#This Row],[Total Sales]]&lt;AVERAGE(Table1[Total Sales]),"Low","High")</f>
        <v>High</v>
      </c>
    </row>
    <row r="149" spans="5:17" x14ac:dyDescent="0.3">
      <c r="E149" s="10">
        <v>145</v>
      </c>
      <c r="F149" s="10" t="s">
        <v>28</v>
      </c>
      <c r="G149" s="10" t="s">
        <v>40</v>
      </c>
      <c r="H149" s="10" t="s">
        <v>10</v>
      </c>
      <c r="I149" s="10">
        <v>9926</v>
      </c>
      <c r="J149" s="10">
        <v>201</v>
      </c>
      <c r="K149" s="11">
        <v>45071</v>
      </c>
      <c r="L149" s="13">
        <f>MONTH(Table1[[#This Row],[Order date ]])</f>
        <v>5</v>
      </c>
      <c r="M149" s="10" t="str">
        <f>TEXT(Table1[[#This Row],[Order date ]],"MMM")</f>
        <v>May</v>
      </c>
      <c r="N149" s="10" t="str">
        <f>TEXT(Table1[[#This Row],[Order date ]],"DDD")</f>
        <v>Thu</v>
      </c>
      <c r="O149" s="10" t="str">
        <f>_xlfn.CONCAT("Q",ROUNDUP(Table1[[#This Row],[Month]]/3,0))</f>
        <v>Q2</v>
      </c>
      <c r="P149" s="12">
        <f>Table1[[#This Row],[Amount]]*Table1[[#This Row],[Units]]</f>
        <v>1995126</v>
      </c>
      <c r="Q149" s="13" t="str">
        <f>IF(Table1[[#This Row],[Total Sales]]&lt;AVERAGE(Table1[Total Sales]),"Low","High")</f>
        <v>High</v>
      </c>
    </row>
    <row r="150" spans="5:17" x14ac:dyDescent="0.3">
      <c r="E150" s="10">
        <v>146</v>
      </c>
      <c r="F150" s="10" t="s">
        <v>29</v>
      </c>
      <c r="G150" s="10" t="s">
        <v>37</v>
      </c>
      <c r="H150" s="10" t="s">
        <v>6</v>
      </c>
      <c r="I150" s="10">
        <v>819</v>
      </c>
      <c r="J150" s="10">
        <v>510</v>
      </c>
      <c r="K150" s="11">
        <v>45072</v>
      </c>
      <c r="L150" s="13">
        <f>MONTH(Table1[[#This Row],[Order date ]])</f>
        <v>5</v>
      </c>
      <c r="M150" s="10" t="str">
        <f>TEXT(Table1[[#This Row],[Order date ]],"MMM")</f>
        <v>May</v>
      </c>
      <c r="N150" s="10" t="str">
        <f>TEXT(Table1[[#This Row],[Order date ]],"DDD")</f>
        <v>Fri</v>
      </c>
      <c r="O150" s="10" t="str">
        <f>_xlfn.CONCAT("Q",ROUNDUP(Table1[[#This Row],[Month]]/3,0))</f>
        <v>Q2</v>
      </c>
      <c r="P150" s="12">
        <f>Table1[[#This Row],[Amount]]*Table1[[#This Row],[Units]]</f>
        <v>417690</v>
      </c>
      <c r="Q150" s="13" t="str">
        <f>IF(Table1[[#This Row],[Total Sales]]&lt;AVERAGE(Table1[Total Sales]),"Low","High")</f>
        <v>Low</v>
      </c>
    </row>
    <row r="151" spans="5:17" x14ac:dyDescent="0.3">
      <c r="E151" s="10">
        <v>147</v>
      </c>
      <c r="F151" s="10" t="s">
        <v>32</v>
      </c>
      <c r="G151" s="10" t="s">
        <v>43</v>
      </c>
      <c r="H151" s="10" t="s">
        <v>22</v>
      </c>
      <c r="I151" s="10">
        <v>3052</v>
      </c>
      <c r="J151" s="10">
        <v>378</v>
      </c>
      <c r="K151" s="11">
        <v>45073</v>
      </c>
      <c r="L151" s="13">
        <f>MONTH(Table1[[#This Row],[Order date ]])</f>
        <v>5</v>
      </c>
      <c r="M151" s="10" t="str">
        <f>TEXT(Table1[[#This Row],[Order date ]],"MMM")</f>
        <v>May</v>
      </c>
      <c r="N151" s="10" t="str">
        <f>TEXT(Table1[[#This Row],[Order date ]],"DDD")</f>
        <v>Sat</v>
      </c>
      <c r="O151" s="10" t="str">
        <f>_xlfn.CONCAT("Q",ROUNDUP(Table1[[#This Row],[Month]]/3,0))</f>
        <v>Q2</v>
      </c>
      <c r="P151" s="12">
        <f>Table1[[#This Row],[Amount]]*Table1[[#This Row],[Units]]</f>
        <v>1153656</v>
      </c>
      <c r="Q151" s="13" t="str">
        <f>IF(Table1[[#This Row],[Total Sales]]&lt;AVERAGE(Table1[Total Sales]),"Low","High")</f>
        <v>High</v>
      </c>
    </row>
    <row r="152" spans="5:17" x14ac:dyDescent="0.3">
      <c r="E152" s="10">
        <v>148</v>
      </c>
      <c r="F152" s="10" t="s">
        <v>3</v>
      </c>
      <c r="G152" s="10" t="s">
        <v>39</v>
      </c>
      <c r="H152" s="10" t="s">
        <v>14</v>
      </c>
      <c r="I152" s="10">
        <v>6832</v>
      </c>
      <c r="J152" s="10">
        <v>27</v>
      </c>
      <c r="K152" s="11">
        <v>45074</v>
      </c>
      <c r="L152" s="13">
        <f>MONTH(Table1[[#This Row],[Order date ]])</f>
        <v>5</v>
      </c>
      <c r="M152" s="10" t="str">
        <f>TEXT(Table1[[#This Row],[Order date ]],"MMM")</f>
        <v>May</v>
      </c>
      <c r="N152" s="10" t="str">
        <f>TEXT(Table1[[#This Row],[Order date ]],"DDD")</f>
        <v>Sun</v>
      </c>
      <c r="O152" s="10" t="str">
        <f>_xlfn.CONCAT("Q",ROUNDUP(Table1[[#This Row],[Month]]/3,0))</f>
        <v>Q2</v>
      </c>
      <c r="P152" s="12">
        <f>Table1[[#This Row],[Amount]]*Table1[[#This Row],[Units]]</f>
        <v>184464</v>
      </c>
      <c r="Q152" s="13" t="str">
        <f>IF(Table1[[#This Row],[Total Sales]]&lt;AVERAGE(Table1[Total Sales]),"Low","High")</f>
        <v>Low</v>
      </c>
    </row>
    <row r="153" spans="5:17" x14ac:dyDescent="0.3">
      <c r="E153" s="10">
        <v>149</v>
      </c>
      <c r="F153" s="10" t="s">
        <v>28</v>
      </c>
      <c r="G153" s="10" t="s">
        <v>43</v>
      </c>
      <c r="H153" s="10" t="s">
        <v>9</v>
      </c>
      <c r="I153" s="10">
        <v>2016</v>
      </c>
      <c r="J153" s="10">
        <v>117</v>
      </c>
      <c r="K153" s="11">
        <v>45075</v>
      </c>
      <c r="L153" s="13">
        <f>MONTH(Table1[[#This Row],[Order date ]])</f>
        <v>5</v>
      </c>
      <c r="M153" s="10" t="str">
        <f>TEXT(Table1[[#This Row],[Order date ]],"MMM")</f>
        <v>May</v>
      </c>
      <c r="N153" s="10" t="str">
        <f>TEXT(Table1[[#This Row],[Order date ]],"DDD")</f>
        <v>Mon</v>
      </c>
      <c r="O153" s="10" t="str">
        <f>_xlfn.CONCAT("Q",ROUNDUP(Table1[[#This Row],[Month]]/3,0))</f>
        <v>Q2</v>
      </c>
      <c r="P153" s="12">
        <f>Table1[[#This Row],[Amount]]*Table1[[#This Row],[Units]]</f>
        <v>235872</v>
      </c>
      <c r="Q153" s="13" t="str">
        <f>IF(Table1[[#This Row],[Total Sales]]&lt;AVERAGE(Table1[Total Sales]),"Low","High")</f>
        <v>Low</v>
      </c>
    </row>
    <row r="154" spans="5:17" x14ac:dyDescent="0.3">
      <c r="E154" s="10">
        <v>150</v>
      </c>
      <c r="F154" s="10" t="s">
        <v>32</v>
      </c>
      <c r="G154" s="10" t="s">
        <v>37</v>
      </c>
      <c r="H154" s="10" t="s">
        <v>14</v>
      </c>
      <c r="I154" s="10">
        <v>7322</v>
      </c>
      <c r="J154" s="10">
        <v>36</v>
      </c>
      <c r="K154" s="11">
        <v>45076</v>
      </c>
      <c r="L154" s="13">
        <f>MONTH(Table1[[#This Row],[Order date ]])</f>
        <v>5</v>
      </c>
      <c r="M154" s="10" t="str">
        <f>TEXT(Table1[[#This Row],[Order date ]],"MMM")</f>
        <v>May</v>
      </c>
      <c r="N154" s="10" t="str">
        <f>TEXT(Table1[[#This Row],[Order date ]],"DDD")</f>
        <v>Tue</v>
      </c>
      <c r="O154" s="10" t="str">
        <f>_xlfn.CONCAT("Q",ROUNDUP(Table1[[#This Row],[Month]]/3,0))</f>
        <v>Q2</v>
      </c>
      <c r="P154" s="12">
        <f>Table1[[#This Row],[Amount]]*Table1[[#This Row],[Units]]</f>
        <v>263592</v>
      </c>
      <c r="Q154" s="13" t="str">
        <f>IF(Table1[[#This Row],[Total Sales]]&lt;AVERAGE(Table1[Total Sales]),"Low","High")</f>
        <v>Low</v>
      </c>
    </row>
    <row r="155" spans="5:17" x14ac:dyDescent="0.3">
      <c r="E155" s="10">
        <v>151</v>
      </c>
      <c r="F155" s="10" t="s">
        <v>29</v>
      </c>
      <c r="G155" s="10" t="s">
        <v>45</v>
      </c>
      <c r="H155" s="10" t="s">
        <v>26</v>
      </c>
      <c r="I155" s="10">
        <v>357</v>
      </c>
      <c r="J155" s="10">
        <v>126</v>
      </c>
      <c r="K155" s="11">
        <v>45077</v>
      </c>
      <c r="L155" s="13">
        <f>MONTH(Table1[[#This Row],[Order date ]])</f>
        <v>5</v>
      </c>
      <c r="M155" s="10" t="str">
        <f>TEXT(Table1[[#This Row],[Order date ]],"MMM")</f>
        <v>May</v>
      </c>
      <c r="N155" s="10" t="str">
        <f>TEXT(Table1[[#This Row],[Order date ]],"DDD")</f>
        <v>Wed</v>
      </c>
      <c r="O155" s="10" t="str">
        <f>_xlfn.CONCAT("Q",ROUNDUP(Table1[[#This Row],[Month]]/3,0))</f>
        <v>Q2</v>
      </c>
      <c r="P155" s="12">
        <f>Table1[[#This Row],[Amount]]*Table1[[#This Row],[Units]]</f>
        <v>44982</v>
      </c>
      <c r="Q155" s="13" t="str">
        <f>IF(Table1[[#This Row],[Total Sales]]&lt;AVERAGE(Table1[Total Sales]),"Low","High")</f>
        <v>Low</v>
      </c>
    </row>
    <row r="156" spans="5:17" x14ac:dyDescent="0.3">
      <c r="E156" s="10">
        <v>152</v>
      </c>
      <c r="F156" s="10" t="s">
        <v>3</v>
      </c>
      <c r="G156" s="10" t="s">
        <v>43</v>
      </c>
      <c r="H156" s="10" t="s">
        <v>18</v>
      </c>
      <c r="I156" s="10">
        <v>3192</v>
      </c>
      <c r="J156" s="10">
        <v>72</v>
      </c>
      <c r="K156" s="11">
        <v>45078</v>
      </c>
      <c r="L156" s="13">
        <f>MONTH(Table1[[#This Row],[Order date ]])</f>
        <v>6</v>
      </c>
      <c r="M156" s="10" t="str">
        <f>TEXT(Table1[[#This Row],[Order date ]],"MMM")</f>
        <v>Jun</v>
      </c>
      <c r="N156" s="10" t="str">
        <f>TEXT(Table1[[#This Row],[Order date ]],"DDD")</f>
        <v>Thu</v>
      </c>
      <c r="O156" s="10" t="str">
        <f>_xlfn.CONCAT("Q",ROUNDUP(Table1[[#This Row],[Month]]/3,0))</f>
        <v>Q2</v>
      </c>
      <c r="P156" s="12">
        <f>Table1[[#This Row],[Amount]]*Table1[[#This Row],[Units]]</f>
        <v>229824</v>
      </c>
      <c r="Q156" s="13" t="str">
        <f>IF(Table1[[#This Row],[Total Sales]]&lt;AVERAGE(Table1[Total Sales]),"Low","High")</f>
        <v>Low</v>
      </c>
    </row>
    <row r="157" spans="5:17" x14ac:dyDescent="0.3">
      <c r="E157" s="10">
        <v>153</v>
      </c>
      <c r="F157" s="10" t="s">
        <v>31</v>
      </c>
      <c r="G157" s="10" t="s">
        <v>38</v>
      </c>
      <c r="H157" s="10" t="s">
        <v>15</v>
      </c>
      <c r="I157" s="10">
        <v>8435</v>
      </c>
      <c r="J157" s="10">
        <v>42</v>
      </c>
      <c r="K157" s="11">
        <v>45079</v>
      </c>
      <c r="L157" s="13">
        <f>MONTH(Table1[[#This Row],[Order date ]])</f>
        <v>6</v>
      </c>
      <c r="M157" s="10" t="str">
        <f>TEXT(Table1[[#This Row],[Order date ]],"MMM")</f>
        <v>Jun</v>
      </c>
      <c r="N157" s="10" t="str">
        <f>TEXT(Table1[[#This Row],[Order date ]],"DDD")</f>
        <v>Fri</v>
      </c>
      <c r="O157" s="10" t="str">
        <f>_xlfn.CONCAT("Q",ROUNDUP(Table1[[#This Row],[Month]]/3,0))</f>
        <v>Q2</v>
      </c>
      <c r="P157" s="12">
        <f>Table1[[#This Row],[Amount]]*Table1[[#This Row],[Units]]</f>
        <v>354270</v>
      </c>
      <c r="Q157" s="13" t="str">
        <f>IF(Table1[[#This Row],[Total Sales]]&lt;AVERAGE(Table1[Total Sales]),"Low","High")</f>
        <v>Low</v>
      </c>
    </row>
    <row r="158" spans="5:17" x14ac:dyDescent="0.3">
      <c r="E158" s="10">
        <v>154</v>
      </c>
      <c r="F158" s="10" t="s">
        <v>36</v>
      </c>
      <c r="G158" s="10" t="s">
        <v>43</v>
      </c>
      <c r="H158" s="10" t="s">
        <v>22</v>
      </c>
      <c r="I158" s="10">
        <v>0</v>
      </c>
      <c r="J158" s="10">
        <v>135</v>
      </c>
      <c r="K158" s="11">
        <v>45080</v>
      </c>
      <c r="L158" s="13">
        <f>MONTH(Table1[[#This Row],[Order date ]])</f>
        <v>6</v>
      </c>
      <c r="M158" s="10" t="str">
        <f>TEXT(Table1[[#This Row],[Order date ]],"MMM")</f>
        <v>Jun</v>
      </c>
      <c r="N158" s="10" t="str">
        <f>TEXT(Table1[[#This Row],[Order date ]],"DDD")</f>
        <v>Sat</v>
      </c>
      <c r="O158" s="10" t="str">
        <f>_xlfn.CONCAT("Q",ROUNDUP(Table1[[#This Row],[Month]]/3,0))</f>
        <v>Q2</v>
      </c>
      <c r="P158" s="12">
        <f>Table1[[#This Row],[Amount]]*Table1[[#This Row],[Units]]</f>
        <v>0</v>
      </c>
      <c r="Q158" s="13" t="str">
        <f>IF(Table1[[#This Row],[Total Sales]]&lt;AVERAGE(Table1[Total Sales]),"Low","High")</f>
        <v>Low</v>
      </c>
    </row>
    <row r="159" spans="5:17" x14ac:dyDescent="0.3">
      <c r="E159" s="10">
        <v>155</v>
      </c>
      <c r="F159" s="10" t="s">
        <v>31</v>
      </c>
      <c r="G159" s="10" t="s">
        <v>39</v>
      </c>
      <c r="H159" s="10" t="s">
        <v>17</v>
      </c>
      <c r="I159" s="10">
        <v>8862</v>
      </c>
      <c r="J159" s="10">
        <v>189</v>
      </c>
      <c r="K159" s="11">
        <v>45081</v>
      </c>
      <c r="L159" s="13">
        <f>MONTH(Table1[[#This Row],[Order date ]])</f>
        <v>6</v>
      </c>
      <c r="M159" s="10" t="str">
        <f>TEXT(Table1[[#This Row],[Order date ]],"MMM")</f>
        <v>Jun</v>
      </c>
      <c r="N159" s="10" t="str">
        <f>TEXT(Table1[[#This Row],[Order date ]],"DDD")</f>
        <v>Sun</v>
      </c>
      <c r="O159" s="10" t="str">
        <f>_xlfn.CONCAT("Q",ROUNDUP(Table1[[#This Row],[Month]]/3,0))</f>
        <v>Q2</v>
      </c>
      <c r="P159" s="12">
        <f>Table1[[#This Row],[Amount]]*Table1[[#This Row],[Units]]</f>
        <v>1674918</v>
      </c>
      <c r="Q159" s="13" t="str">
        <f>IF(Table1[[#This Row],[Total Sales]]&lt;AVERAGE(Table1[Total Sales]),"Low","High")</f>
        <v>High</v>
      </c>
    </row>
    <row r="160" spans="5:17" x14ac:dyDescent="0.3">
      <c r="E160" s="10">
        <v>156</v>
      </c>
      <c r="F160" s="10" t="s">
        <v>32</v>
      </c>
      <c r="G160" s="10" t="s">
        <v>40</v>
      </c>
      <c r="H160" s="10" t="s">
        <v>21</v>
      </c>
      <c r="I160" s="10">
        <v>3556</v>
      </c>
      <c r="J160" s="10">
        <v>459</v>
      </c>
      <c r="K160" s="11">
        <v>45082</v>
      </c>
      <c r="L160" s="13">
        <f>MONTH(Table1[[#This Row],[Order date ]])</f>
        <v>6</v>
      </c>
      <c r="M160" s="10" t="str">
        <f>TEXT(Table1[[#This Row],[Order date ]],"MMM")</f>
        <v>Jun</v>
      </c>
      <c r="N160" s="10" t="str">
        <f>TEXT(Table1[[#This Row],[Order date ]],"DDD")</f>
        <v>Mon</v>
      </c>
      <c r="O160" s="10" t="str">
        <f>_xlfn.CONCAT("Q",ROUNDUP(Table1[[#This Row],[Month]]/3,0))</f>
        <v>Q2</v>
      </c>
      <c r="P160" s="12">
        <f>Table1[[#This Row],[Amount]]*Table1[[#This Row],[Units]]</f>
        <v>1632204</v>
      </c>
      <c r="Q160" s="13" t="str">
        <f>IF(Table1[[#This Row],[Total Sales]]&lt;AVERAGE(Table1[Total Sales]),"Low","High")</f>
        <v>High</v>
      </c>
    </row>
    <row r="161" spans="5:17" x14ac:dyDescent="0.3">
      <c r="E161" s="10">
        <v>157</v>
      </c>
      <c r="F161" s="10" t="s">
        <v>33</v>
      </c>
      <c r="G161" s="10" t="s">
        <v>39</v>
      </c>
      <c r="H161" s="10" t="s">
        <v>8</v>
      </c>
      <c r="I161" s="10">
        <v>7280</v>
      </c>
      <c r="J161" s="10">
        <v>201</v>
      </c>
      <c r="K161" s="11">
        <v>45083</v>
      </c>
      <c r="L161" s="13">
        <f>MONTH(Table1[[#This Row],[Order date ]])</f>
        <v>6</v>
      </c>
      <c r="M161" s="10" t="str">
        <f>TEXT(Table1[[#This Row],[Order date ]],"MMM")</f>
        <v>Jun</v>
      </c>
      <c r="N161" s="10" t="str">
        <f>TEXT(Table1[[#This Row],[Order date ]],"DDD")</f>
        <v>Tue</v>
      </c>
      <c r="O161" s="10" t="str">
        <f>_xlfn.CONCAT("Q",ROUNDUP(Table1[[#This Row],[Month]]/3,0))</f>
        <v>Q2</v>
      </c>
      <c r="P161" s="12">
        <f>Table1[[#This Row],[Amount]]*Table1[[#This Row],[Units]]</f>
        <v>1463280</v>
      </c>
      <c r="Q161" s="13" t="str">
        <f>IF(Table1[[#This Row],[Total Sales]]&lt;AVERAGE(Table1[Total Sales]),"Low","High")</f>
        <v>High</v>
      </c>
    </row>
    <row r="162" spans="5:17" x14ac:dyDescent="0.3">
      <c r="E162" s="10">
        <v>158</v>
      </c>
      <c r="F162" s="10" t="s">
        <v>32</v>
      </c>
      <c r="G162" s="10" t="s">
        <v>39</v>
      </c>
      <c r="H162" s="10" t="s">
        <v>23</v>
      </c>
      <c r="I162" s="10">
        <v>3402</v>
      </c>
      <c r="J162" s="10">
        <v>366</v>
      </c>
      <c r="K162" s="11">
        <v>45084</v>
      </c>
      <c r="L162" s="13">
        <f>MONTH(Table1[[#This Row],[Order date ]])</f>
        <v>6</v>
      </c>
      <c r="M162" s="10" t="str">
        <f>TEXT(Table1[[#This Row],[Order date ]],"MMM")</f>
        <v>Jun</v>
      </c>
      <c r="N162" s="10" t="str">
        <f>TEXT(Table1[[#This Row],[Order date ]],"DDD")</f>
        <v>Wed</v>
      </c>
      <c r="O162" s="10" t="str">
        <f>_xlfn.CONCAT("Q",ROUNDUP(Table1[[#This Row],[Month]]/3,0))</f>
        <v>Q2</v>
      </c>
      <c r="P162" s="12">
        <f>Table1[[#This Row],[Amount]]*Table1[[#This Row],[Units]]</f>
        <v>1245132</v>
      </c>
      <c r="Q162" s="13" t="str">
        <f>IF(Table1[[#This Row],[Total Sales]]&lt;AVERAGE(Table1[Total Sales]),"Low","High")</f>
        <v>High</v>
      </c>
    </row>
    <row r="163" spans="5:17" x14ac:dyDescent="0.3">
      <c r="E163" s="10">
        <v>159</v>
      </c>
      <c r="F163" s="10" t="s">
        <v>34</v>
      </c>
      <c r="G163" s="10" t="s">
        <v>40</v>
      </c>
      <c r="H163" s="10" t="s">
        <v>22</v>
      </c>
      <c r="I163" s="10">
        <v>4592</v>
      </c>
      <c r="J163" s="10">
        <v>324</v>
      </c>
      <c r="K163" s="11">
        <v>45085</v>
      </c>
      <c r="L163" s="13">
        <f>MONTH(Table1[[#This Row],[Order date ]])</f>
        <v>6</v>
      </c>
      <c r="M163" s="10" t="str">
        <f>TEXT(Table1[[#This Row],[Order date ]],"MMM")</f>
        <v>Jun</v>
      </c>
      <c r="N163" s="10" t="str">
        <f>TEXT(Table1[[#This Row],[Order date ]],"DDD")</f>
        <v>Thu</v>
      </c>
      <c r="O163" s="10" t="str">
        <f>_xlfn.CONCAT("Q",ROUNDUP(Table1[[#This Row],[Month]]/3,0))</f>
        <v>Q2</v>
      </c>
      <c r="P163" s="12">
        <f>Table1[[#This Row],[Amount]]*Table1[[#This Row],[Units]]</f>
        <v>1487808</v>
      </c>
      <c r="Q163" s="13" t="str">
        <f>IF(Table1[[#This Row],[Total Sales]]&lt;AVERAGE(Table1[Total Sales]),"Low","High")</f>
        <v>High</v>
      </c>
    </row>
    <row r="164" spans="5:17" x14ac:dyDescent="0.3">
      <c r="E164" s="10">
        <v>160</v>
      </c>
      <c r="F164" s="10" t="s">
        <v>3</v>
      </c>
      <c r="G164" s="10" t="s">
        <v>45</v>
      </c>
      <c r="H164" s="10" t="s">
        <v>8</v>
      </c>
      <c r="I164" s="10">
        <v>7833</v>
      </c>
      <c r="J164" s="10">
        <v>243</v>
      </c>
      <c r="K164" s="11">
        <v>45086</v>
      </c>
      <c r="L164" s="13">
        <f>MONTH(Table1[[#This Row],[Order date ]])</f>
        <v>6</v>
      </c>
      <c r="M164" s="10" t="str">
        <f>TEXT(Table1[[#This Row],[Order date ]],"MMM")</f>
        <v>Jun</v>
      </c>
      <c r="N164" s="10" t="str">
        <f>TEXT(Table1[[#This Row],[Order date ]],"DDD")</f>
        <v>Fri</v>
      </c>
      <c r="O164" s="10" t="str">
        <f>_xlfn.CONCAT("Q",ROUNDUP(Table1[[#This Row],[Month]]/3,0))</f>
        <v>Q2</v>
      </c>
      <c r="P164" s="12">
        <f>Table1[[#This Row],[Amount]]*Table1[[#This Row],[Units]]</f>
        <v>1903419</v>
      </c>
      <c r="Q164" s="13" t="str">
        <f>IF(Table1[[#This Row],[Total Sales]]&lt;AVERAGE(Table1[Total Sales]),"Low","High")</f>
        <v>High</v>
      </c>
    </row>
    <row r="165" spans="5:17" x14ac:dyDescent="0.3">
      <c r="E165" s="10">
        <v>161</v>
      </c>
      <c r="F165" s="10" t="s">
        <v>28</v>
      </c>
      <c r="G165" s="10" t="s">
        <v>43</v>
      </c>
      <c r="H165" s="10" t="s">
        <v>14</v>
      </c>
      <c r="I165" s="10">
        <v>7651</v>
      </c>
      <c r="J165" s="10">
        <v>213</v>
      </c>
      <c r="K165" s="11">
        <v>45087</v>
      </c>
      <c r="L165" s="13">
        <f>MONTH(Table1[[#This Row],[Order date ]])</f>
        <v>6</v>
      </c>
      <c r="M165" s="10" t="str">
        <f>TEXT(Table1[[#This Row],[Order date ]],"MMM")</f>
        <v>Jun</v>
      </c>
      <c r="N165" s="10" t="str">
        <f>TEXT(Table1[[#This Row],[Order date ]],"DDD")</f>
        <v>Sat</v>
      </c>
      <c r="O165" s="10" t="str">
        <f>_xlfn.CONCAT("Q",ROUNDUP(Table1[[#This Row],[Month]]/3,0))</f>
        <v>Q2</v>
      </c>
      <c r="P165" s="12">
        <f>Table1[[#This Row],[Amount]]*Table1[[#This Row],[Units]]</f>
        <v>1629663</v>
      </c>
      <c r="Q165" s="13" t="str">
        <f>IF(Table1[[#This Row],[Total Sales]]&lt;AVERAGE(Table1[Total Sales]),"Low","High")</f>
        <v>High</v>
      </c>
    </row>
    <row r="166" spans="5:17" x14ac:dyDescent="0.3">
      <c r="E166" s="10">
        <v>162</v>
      </c>
      <c r="F166" s="10" t="s">
        <v>36</v>
      </c>
      <c r="G166" s="10" t="s">
        <v>45</v>
      </c>
      <c r="H166" s="10" t="s">
        <v>23</v>
      </c>
      <c r="I166" s="10">
        <v>2275</v>
      </c>
      <c r="J166" s="10">
        <v>447</v>
      </c>
      <c r="K166" s="11">
        <v>45088</v>
      </c>
      <c r="L166" s="13">
        <f>MONTH(Table1[[#This Row],[Order date ]])</f>
        <v>6</v>
      </c>
      <c r="M166" s="10" t="str">
        <f>TEXT(Table1[[#This Row],[Order date ]],"MMM")</f>
        <v>Jun</v>
      </c>
      <c r="N166" s="10" t="str">
        <f>TEXT(Table1[[#This Row],[Order date ]],"DDD")</f>
        <v>Sun</v>
      </c>
      <c r="O166" s="10" t="str">
        <f>_xlfn.CONCAT("Q",ROUNDUP(Table1[[#This Row],[Month]]/3,0))</f>
        <v>Q2</v>
      </c>
      <c r="P166" s="12">
        <f>Table1[[#This Row],[Amount]]*Table1[[#This Row],[Units]]</f>
        <v>1016925</v>
      </c>
      <c r="Q166" s="13" t="str">
        <f>IF(Table1[[#This Row],[Total Sales]]&lt;AVERAGE(Table1[Total Sales]),"Low","High")</f>
        <v>High</v>
      </c>
    </row>
    <row r="167" spans="5:17" x14ac:dyDescent="0.3">
      <c r="E167" s="10">
        <v>163</v>
      </c>
      <c r="F167" s="10" t="s">
        <v>36</v>
      </c>
      <c r="G167" s="10" t="s">
        <v>37</v>
      </c>
      <c r="H167" s="10" t="s">
        <v>6</v>
      </c>
      <c r="I167" s="10">
        <v>5670</v>
      </c>
      <c r="J167" s="10">
        <v>297</v>
      </c>
      <c r="K167" s="11">
        <v>45089</v>
      </c>
      <c r="L167" s="13">
        <f>MONTH(Table1[[#This Row],[Order date ]])</f>
        <v>6</v>
      </c>
      <c r="M167" s="10" t="str">
        <f>TEXT(Table1[[#This Row],[Order date ]],"MMM")</f>
        <v>Jun</v>
      </c>
      <c r="N167" s="10" t="str">
        <f>TEXT(Table1[[#This Row],[Order date ]],"DDD")</f>
        <v>Mon</v>
      </c>
      <c r="O167" s="10" t="str">
        <f>_xlfn.CONCAT("Q",ROUNDUP(Table1[[#This Row],[Month]]/3,0))</f>
        <v>Q2</v>
      </c>
      <c r="P167" s="12">
        <f>Table1[[#This Row],[Amount]]*Table1[[#This Row],[Units]]</f>
        <v>1683990</v>
      </c>
      <c r="Q167" s="13" t="str">
        <f>IF(Table1[[#This Row],[Total Sales]]&lt;AVERAGE(Table1[Total Sales]),"Low","High")</f>
        <v>High</v>
      </c>
    </row>
    <row r="168" spans="5:17" x14ac:dyDescent="0.3">
      <c r="E168" s="10">
        <v>164</v>
      </c>
      <c r="F168" s="10" t="s">
        <v>31</v>
      </c>
      <c r="G168" s="10" t="s">
        <v>45</v>
      </c>
      <c r="H168" s="10" t="s">
        <v>9</v>
      </c>
      <c r="I168" s="10">
        <v>2135</v>
      </c>
      <c r="J168" s="10">
        <v>27</v>
      </c>
      <c r="K168" s="11">
        <v>45090</v>
      </c>
      <c r="L168" s="13">
        <f>MONTH(Table1[[#This Row],[Order date ]])</f>
        <v>6</v>
      </c>
      <c r="M168" s="10" t="str">
        <f>TEXT(Table1[[#This Row],[Order date ]],"MMM")</f>
        <v>Jun</v>
      </c>
      <c r="N168" s="10" t="str">
        <f>TEXT(Table1[[#This Row],[Order date ]],"DDD")</f>
        <v>Tue</v>
      </c>
      <c r="O168" s="10" t="str">
        <f>_xlfn.CONCAT("Q",ROUNDUP(Table1[[#This Row],[Month]]/3,0))</f>
        <v>Q2</v>
      </c>
      <c r="P168" s="12">
        <f>Table1[[#This Row],[Amount]]*Table1[[#This Row],[Units]]</f>
        <v>57645</v>
      </c>
      <c r="Q168" s="13" t="str">
        <f>IF(Table1[[#This Row],[Total Sales]]&lt;AVERAGE(Table1[Total Sales]),"Low","High")</f>
        <v>Low</v>
      </c>
    </row>
    <row r="169" spans="5:17" x14ac:dyDescent="0.3">
      <c r="E169" s="10">
        <v>165</v>
      </c>
      <c r="F169" s="10" t="s">
        <v>36</v>
      </c>
      <c r="G169" s="10" t="s">
        <v>39</v>
      </c>
      <c r="H169" s="10" t="s">
        <v>16</v>
      </c>
      <c r="I169" s="10">
        <v>2779</v>
      </c>
      <c r="J169" s="10">
        <v>75</v>
      </c>
      <c r="K169" s="11">
        <v>45091</v>
      </c>
      <c r="L169" s="13">
        <f>MONTH(Table1[[#This Row],[Order date ]])</f>
        <v>6</v>
      </c>
      <c r="M169" s="10" t="str">
        <f>TEXT(Table1[[#This Row],[Order date ]],"MMM")</f>
        <v>Jun</v>
      </c>
      <c r="N169" s="10" t="str">
        <f>TEXT(Table1[[#This Row],[Order date ]],"DDD")</f>
        <v>Wed</v>
      </c>
      <c r="O169" s="10" t="str">
        <f>_xlfn.CONCAT("Q",ROUNDUP(Table1[[#This Row],[Month]]/3,0))</f>
        <v>Q2</v>
      </c>
      <c r="P169" s="12">
        <f>Table1[[#This Row],[Amount]]*Table1[[#This Row],[Units]]</f>
        <v>208425</v>
      </c>
      <c r="Q169" s="13" t="str">
        <f>IF(Table1[[#This Row],[Total Sales]]&lt;AVERAGE(Table1[Total Sales]),"Low","High")</f>
        <v>Low</v>
      </c>
    </row>
    <row r="170" spans="5:17" x14ac:dyDescent="0.3">
      <c r="E170" s="10">
        <v>166</v>
      </c>
      <c r="F170" s="10" t="s">
        <v>35</v>
      </c>
      <c r="G170" s="10" t="s">
        <v>43</v>
      </c>
      <c r="H170" s="10" t="s">
        <v>26</v>
      </c>
      <c r="I170" s="10">
        <v>12950</v>
      </c>
      <c r="J170" s="10">
        <v>30</v>
      </c>
      <c r="K170" s="11">
        <v>45092</v>
      </c>
      <c r="L170" s="13">
        <f>MONTH(Table1[[#This Row],[Order date ]])</f>
        <v>6</v>
      </c>
      <c r="M170" s="10" t="str">
        <f>TEXT(Table1[[#This Row],[Order date ]],"MMM")</f>
        <v>Jun</v>
      </c>
      <c r="N170" s="10" t="str">
        <f>TEXT(Table1[[#This Row],[Order date ]],"DDD")</f>
        <v>Thu</v>
      </c>
      <c r="O170" s="10" t="str">
        <f>_xlfn.CONCAT("Q",ROUNDUP(Table1[[#This Row],[Month]]/3,0))</f>
        <v>Q2</v>
      </c>
      <c r="P170" s="12">
        <f>Table1[[#This Row],[Amount]]*Table1[[#This Row],[Units]]</f>
        <v>388500</v>
      </c>
      <c r="Q170" s="13" t="str">
        <f>IF(Table1[[#This Row],[Total Sales]]&lt;AVERAGE(Table1[Total Sales]),"Low","High")</f>
        <v>Low</v>
      </c>
    </row>
    <row r="171" spans="5:17" x14ac:dyDescent="0.3">
      <c r="E171" s="10">
        <v>167</v>
      </c>
      <c r="F171" s="10" t="s">
        <v>31</v>
      </c>
      <c r="G171" s="10" t="s">
        <v>38</v>
      </c>
      <c r="H171" s="10" t="s">
        <v>11</v>
      </c>
      <c r="I171" s="10">
        <v>2646</v>
      </c>
      <c r="J171" s="10">
        <v>177</v>
      </c>
      <c r="K171" s="11">
        <v>45093</v>
      </c>
      <c r="L171" s="13">
        <f>MONTH(Table1[[#This Row],[Order date ]])</f>
        <v>6</v>
      </c>
      <c r="M171" s="10" t="str">
        <f>TEXT(Table1[[#This Row],[Order date ]],"MMM")</f>
        <v>Jun</v>
      </c>
      <c r="N171" s="10" t="str">
        <f>TEXT(Table1[[#This Row],[Order date ]],"DDD")</f>
        <v>Fri</v>
      </c>
      <c r="O171" s="10" t="str">
        <f>_xlfn.CONCAT("Q",ROUNDUP(Table1[[#This Row],[Month]]/3,0))</f>
        <v>Q2</v>
      </c>
      <c r="P171" s="12">
        <f>Table1[[#This Row],[Amount]]*Table1[[#This Row],[Units]]</f>
        <v>468342</v>
      </c>
      <c r="Q171" s="13" t="str">
        <f>IF(Table1[[#This Row],[Total Sales]]&lt;AVERAGE(Table1[Total Sales]),"Low","High")</f>
        <v>Low</v>
      </c>
    </row>
    <row r="172" spans="5:17" x14ac:dyDescent="0.3">
      <c r="E172" s="10">
        <v>168</v>
      </c>
      <c r="F172" s="10" t="s">
        <v>36</v>
      </c>
      <c r="G172" s="10" t="s">
        <v>39</v>
      </c>
      <c r="H172" s="10" t="s">
        <v>26</v>
      </c>
      <c r="I172" s="10">
        <v>3794</v>
      </c>
      <c r="J172" s="10">
        <v>159</v>
      </c>
      <c r="K172" s="11">
        <v>45094</v>
      </c>
      <c r="L172" s="13">
        <f>MONTH(Table1[[#This Row],[Order date ]])</f>
        <v>6</v>
      </c>
      <c r="M172" s="10" t="str">
        <f>TEXT(Table1[[#This Row],[Order date ]],"MMM")</f>
        <v>Jun</v>
      </c>
      <c r="N172" s="10" t="str">
        <f>TEXT(Table1[[#This Row],[Order date ]],"DDD")</f>
        <v>Sat</v>
      </c>
      <c r="O172" s="10" t="str">
        <f>_xlfn.CONCAT("Q",ROUNDUP(Table1[[#This Row],[Month]]/3,0))</f>
        <v>Q2</v>
      </c>
      <c r="P172" s="12">
        <f>Table1[[#This Row],[Amount]]*Table1[[#This Row],[Units]]</f>
        <v>603246</v>
      </c>
      <c r="Q172" s="13" t="str">
        <f>IF(Table1[[#This Row],[Total Sales]]&lt;AVERAGE(Table1[Total Sales]),"Low","High")</f>
        <v>Low</v>
      </c>
    </row>
    <row r="173" spans="5:17" x14ac:dyDescent="0.3">
      <c r="E173" s="10">
        <v>169</v>
      </c>
      <c r="F173" s="10" t="s">
        <v>34</v>
      </c>
      <c r="G173" s="10" t="s">
        <v>45</v>
      </c>
      <c r="H173" s="10" t="s">
        <v>26</v>
      </c>
      <c r="I173" s="10">
        <v>819</v>
      </c>
      <c r="J173" s="10">
        <v>306</v>
      </c>
      <c r="K173" s="11">
        <v>45095</v>
      </c>
      <c r="L173" s="13">
        <f>MONTH(Table1[[#This Row],[Order date ]])</f>
        <v>6</v>
      </c>
      <c r="M173" s="10" t="str">
        <f>TEXT(Table1[[#This Row],[Order date ]],"MMM")</f>
        <v>Jun</v>
      </c>
      <c r="N173" s="10" t="str">
        <f>TEXT(Table1[[#This Row],[Order date ]],"DDD")</f>
        <v>Sun</v>
      </c>
      <c r="O173" s="10" t="str">
        <f>_xlfn.CONCAT("Q",ROUNDUP(Table1[[#This Row],[Month]]/3,0))</f>
        <v>Q2</v>
      </c>
      <c r="P173" s="12">
        <f>Table1[[#This Row],[Amount]]*Table1[[#This Row],[Units]]</f>
        <v>250614</v>
      </c>
      <c r="Q173" s="13" t="str">
        <f>IF(Table1[[#This Row],[Total Sales]]&lt;AVERAGE(Table1[Total Sales]),"Low","High")</f>
        <v>Low</v>
      </c>
    </row>
    <row r="174" spans="5:17" x14ac:dyDescent="0.3">
      <c r="E174" s="10">
        <v>170</v>
      </c>
      <c r="F174" s="10" t="s">
        <v>34</v>
      </c>
      <c r="G174" s="10" t="s">
        <v>39</v>
      </c>
      <c r="H174" s="10" t="s">
        <v>13</v>
      </c>
      <c r="I174" s="10">
        <v>2583</v>
      </c>
      <c r="J174" s="10">
        <v>18</v>
      </c>
      <c r="K174" s="11">
        <v>45096</v>
      </c>
      <c r="L174" s="13">
        <f>MONTH(Table1[[#This Row],[Order date ]])</f>
        <v>6</v>
      </c>
      <c r="M174" s="10" t="str">
        <f>TEXT(Table1[[#This Row],[Order date ]],"MMM")</f>
        <v>Jun</v>
      </c>
      <c r="N174" s="10" t="str">
        <f>TEXT(Table1[[#This Row],[Order date ]],"DDD")</f>
        <v>Mon</v>
      </c>
      <c r="O174" s="10" t="str">
        <f>_xlfn.CONCAT("Q",ROUNDUP(Table1[[#This Row],[Month]]/3,0))</f>
        <v>Q2</v>
      </c>
      <c r="P174" s="12">
        <f>Table1[[#This Row],[Amount]]*Table1[[#This Row],[Units]]</f>
        <v>46494</v>
      </c>
      <c r="Q174" s="13" t="str">
        <f>IF(Table1[[#This Row],[Total Sales]]&lt;AVERAGE(Table1[Total Sales]),"Low","High")</f>
        <v>Low</v>
      </c>
    </row>
    <row r="175" spans="5:17" x14ac:dyDescent="0.3">
      <c r="E175" s="10">
        <v>171</v>
      </c>
      <c r="F175" s="10" t="s">
        <v>31</v>
      </c>
      <c r="G175" s="10" t="s">
        <v>45</v>
      </c>
      <c r="H175" s="10" t="s">
        <v>12</v>
      </c>
      <c r="I175" s="10">
        <v>4585</v>
      </c>
      <c r="J175" s="10">
        <v>240</v>
      </c>
      <c r="K175" s="11">
        <v>45097</v>
      </c>
      <c r="L175" s="13">
        <f>MONTH(Table1[[#This Row],[Order date ]])</f>
        <v>6</v>
      </c>
      <c r="M175" s="10" t="str">
        <f>TEXT(Table1[[#This Row],[Order date ]],"MMM")</f>
        <v>Jun</v>
      </c>
      <c r="N175" s="10" t="str">
        <f>TEXT(Table1[[#This Row],[Order date ]],"DDD")</f>
        <v>Tue</v>
      </c>
      <c r="O175" s="10" t="str">
        <f>_xlfn.CONCAT("Q",ROUNDUP(Table1[[#This Row],[Month]]/3,0))</f>
        <v>Q2</v>
      </c>
      <c r="P175" s="12">
        <f>Table1[[#This Row],[Amount]]*Table1[[#This Row],[Units]]</f>
        <v>1100400</v>
      </c>
      <c r="Q175" s="13" t="str">
        <f>IF(Table1[[#This Row],[Total Sales]]&lt;AVERAGE(Table1[Total Sales]),"Low","High")</f>
        <v>High</v>
      </c>
    </row>
    <row r="176" spans="5:17" x14ac:dyDescent="0.3">
      <c r="E176" s="10">
        <v>172</v>
      </c>
      <c r="F176" s="10" t="s">
        <v>33</v>
      </c>
      <c r="G176" s="10" t="s">
        <v>39</v>
      </c>
      <c r="H176" s="10" t="s">
        <v>26</v>
      </c>
      <c r="I176" s="10">
        <v>1652</v>
      </c>
      <c r="J176" s="10">
        <v>93</v>
      </c>
      <c r="K176" s="11">
        <v>45098</v>
      </c>
      <c r="L176" s="13">
        <f>MONTH(Table1[[#This Row],[Order date ]])</f>
        <v>6</v>
      </c>
      <c r="M176" s="10" t="str">
        <f>TEXT(Table1[[#This Row],[Order date ]],"MMM")</f>
        <v>Jun</v>
      </c>
      <c r="N176" s="10" t="str">
        <f>TEXT(Table1[[#This Row],[Order date ]],"DDD")</f>
        <v>Wed</v>
      </c>
      <c r="O176" s="10" t="str">
        <f>_xlfn.CONCAT("Q",ROUNDUP(Table1[[#This Row],[Month]]/3,0))</f>
        <v>Q2</v>
      </c>
      <c r="P176" s="12">
        <f>Table1[[#This Row],[Amount]]*Table1[[#This Row],[Units]]</f>
        <v>153636</v>
      </c>
      <c r="Q176" s="13" t="str">
        <f>IF(Table1[[#This Row],[Total Sales]]&lt;AVERAGE(Table1[Total Sales]),"Low","High")</f>
        <v>Low</v>
      </c>
    </row>
    <row r="177" spans="5:17" x14ac:dyDescent="0.3">
      <c r="E177" s="10">
        <v>173</v>
      </c>
      <c r="F177" s="10" t="s">
        <v>35</v>
      </c>
      <c r="G177" s="10" t="s">
        <v>39</v>
      </c>
      <c r="H177" s="10" t="s">
        <v>19</v>
      </c>
      <c r="I177" s="10">
        <v>4991</v>
      </c>
      <c r="J177" s="10">
        <v>9</v>
      </c>
      <c r="K177" s="11">
        <v>45099</v>
      </c>
      <c r="L177" s="13">
        <f>MONTH(Table1[[#This Row],[Order date ]])</f>
        <v>6</v>
      </c>
      <c r="M177" s="10" t="str">
        <f>TEXT(Table1[[#This Row],[Order date ]],"MMM")</f>
        <v>Jun</v>
      </c>
      <c r="N177" s="10" t="str">
        <f>TEXT(Table1[[#This Row],[Order date ]],"DDD")</f>
        <v>Thu</v>
      </c>
      <c r="O177" s="10" t="str">
        <f>_xlfn.CONCAT("Q",ROUNDUP(Table1[[#This Row],[Month]]/3,0))</f>
        <v>Q2</v>
      </c>
      <c r="P177" s="12">
        <f>Table1[[#This Row],[Amount]]*Table1[[#This Row],[Units]]</f>
        <v>44919</v>
      </c>
      <c r="Q177" s="13" t="str">
        <f>IF(Table1[[#This Row],[Total Sales]]&lt;AVERAGE(Table1[Total Sales]),"Low","High")</f>
        <v>Low</v>
      </c>
    </row>
    <row r="178" spans="5:17" x14ac:dyDescent="0.3">
      <c r="E178" s="10">
        <v>174</v>
      </c>
      <c r="F178" s="10" t="s">
        <v>29</v>
      </c>
      <c r="G178" s="10" t="s">
        <v>39</v>
      </c>
      <c r="H178" s="10" t="s">
        <v>9</v>
      </c>
      <c r="I178" s="10">
        <v>2009</v>
      </c>
      <c r="J178" s="10">
        <v>219</v>
      </c>
      <c r="K178" s="11">
        <v>45100</v>
      </c>
      <c r="L178" s="13">
        <f>MONTH(Table1[[#This Row],[Order date ]])</f>
        <v>6</v>
      </c>
      <c r="M178" s="10" t="str">
        <f>TEXT(Table1[[#This Row],[Order date ]],"MMM")</f>
        <v>Jun</v>
      </c>
      <c r="N178" s="10" t="str">
        <f>TEXT(Table1[[#This Row],[Order date ]],"DDD")</f>
        <v>Fri</v>
      </c>
      <c r="O178" s="10" t="str">
        <f>_xlfn.CONCAT("Q",ROUNDUP(Table1[[#This Row],[Month]]/3,0))</f>
        <v>Q2</v>
      </c>
      <c r="P178" s="12">
        <f>Table1[[#This Row],[Amount]]*Table1[[#This Row],[Units]]</f>
        <v>439971</v>
      </c>
      <c r="Q178" s="13" t="str">
        <f>IF(Table1[[#This Row],[Total Sales]]&lt;AVERAGE(Table1[Total Sales]),"Low","High")</f>
        <v>Low</v>
      </c>
    </row>
    <row r="179" spans="5:17" x14ac:dyDescent="0.3">
      <c r="E179" s="10">
        <v>175</v>
      </c>
      <c r="F179" s="10" t="s">
        <v>28</v>
      </c>
      <c r="G179" s="10" t="s">
        <v>43</v>
      </c>
      <c r="H179" s="10" t="s">
        <v>15</v>
      </c>
      <c r="I179" s="10">
        <v>1568</v>
      </c>
      <c r="J179" s="10">
        <v>141</v>
      </c>
      <c r="K179" s="11">
        <v>45101</v>
      </c>
      <c r="L179" s="13">
        <f>MONTH(Table1[[#This Row],[Order date ]])</f>
        <v>6</v>
      </c>
      <c r="M179" s="10" t="str">
        <f>TEXT(Table1[[#This Row],[Order date ]],"MMM")</f>
        <v>Jun</v>
      </c>
      <c r="N179" s="10" t="str">
        <f>TEXT(Table1[[#This Row],[Order date ]],"DDD")</f>
        <v>Sat</v>
      </c>
      <c r="O179" s="10" t="str">
        <f>_xlfn.CONCAT("Q",ROUNDUP(Table1[[#This Row],[Month]]/3,0))</f>
        <v>Q2</v>
      </c>
      <c r="P179" s="12">
        <f>Table1[[#This Row],[Amount]]*Table1[[#This Row],[Units]]</f>
        <v>221088</v>
      </c>
      <c r="Q179" s="13" t="str">
        <f>IF(Table1[[#This Row],[Total Sales]]&lt;AVERAGE(Table1[Total Sales]),"Low","High")</f>
        <v>Low</v>
      </c>
    </row>
    <row r="180" spans="5:17" x14ac:dyDescent="0.3">
      <c r="E180" s="10">
        <v>176</v>
      </c>
      <c r="F180" s="10" t="s">
        <v>30</v>
      </c>
      <c r="G180" s="10" t="s">
        <v>40</v>
      </c>
      <c r="H180" s="10" t="s">
        <v>13</v>
      </c>
      <c r="I180" s="10">
        <v>3388</v>
      </c>
      <c r="J180" s="10">
        <v>123</v>
      </c>
      <c r="K180" s="11">
        <v>45102</v>
      </c>
      <c r="L180" s="13">
        <f>MONTH(Table1[[#This Row],[Order date ]])</f>
        <v>6</v>
      </c>
      <c r="M180" s="10" t="str">
        <f>TEXT(Table1[[#This Row],[Order date ]],"MMM")</f>
        <v>Jun</v>
      </c>
      <c r="N180" s="10" t="str">
        <f>TEXT(Table1[[#This Row],[Order date ]],"DDD")</f>
        <v>Sun</v>
      </c>
      <c r="O180" s="10" t="str">
        <f>_xlfn.CONCAT("Q",ROUNDUP(Table1[[#This Row],[Month]]/3,0))</f>
        <v>Q2</v>
      </c>
      <c r="P180" s="12">
        <f>Table1[[#This Row],[Amount]]*Table1[[#This Row],[Units]]</f>
        <v>416724</v>
      </c>
      <c r="Q180" s="13" t="str">
        <f>IF(Table1[[#This Row],[Total Sales]]&lt;AVERAGE(Table1[Total Sales]),"Low","High")</f>
        <v>Low</v>
      </c>
    </row>
    <row r="181" spans="5:17" x14ac:dyDescent="0.3">
      <c r="E181" s="10">
        <v>177</v>
      </c>
      <c r="F181" s="10" t="s">
        <v>36</v>
      </c>
      <c r="G181" s="10" t="s">
        <v>37</v>
      </c>
      <c r="H181" s="10" t="s">
        <v>17</v>
      </c>
      <c r="I181" s="10">
        <v>623</v>
      </c>
      <c r="J181" s="10">
        <v>51</v>
      </c>
      <c r="K181" s="11">
        <v>45103</v>
      </c>
      <c r="L181" s="13">
        <f>MONTH(Table1[[#This Row],[Order date ]])</f>
        <v>6</v>
      </c>
      <c r="M181" s="10" t="str">
        <f>TEXT(Table1[[#This Row],[Order date ]],"MMM")</f>
        <v>Jun</v>
      </c>
      <c r="N181" s="10" t="str">
        <f>TEXT(Table1[[#This Row],[Order date ]],"DDD")</f>
        <v>Mon</v>
      </c>
      <c r="O181" s="10" t="str">
        <f>_xlfn.CONCAT("Q",ROUNDUP(Table1[[#This Row],[Month]]/3,0))</f>
        <v>Q2</v>
      </c>
      <c r="P181" s="12">
        <f>Table1[[#This Row],[Amount]]*Table1[[#This Row],[Units]]</f>
        <v>31773</v>
      </c>
      <c r="Q181" s="13" t="str">
        <f>IF(Table1[[#This Row],[Total Sales]]&lt;AVERAGE(Table1[Total Sales]),"Low","High")</f>
        <v>Low</v>
      </c>
    </row>
    <row r="182" spans="5:17" x14ac:dyDescent="0.3">
      <c r="E182" s="10">
        <v>178</v>
      </c>
      <c r="F182" s="10" t="s">
        <v>32</v>
      </c>
      <c r="G182" s="10" t="s">
        <v>38</v>
      </c>
      <c r="H182" s="10" t="s">
        <v>2</v>
      </c>
      <c r="I182" s="10">
        <v>10073</v>
      </c>
      <c r="J182" s="10">
        <v>120</v>
      </c>
      <c r="K182" s="11">
        <v>45104</v>
      </c>
      <c r="L182" s="13">
        <f>MONTH(Table1[[#This Row],[Order date ]])</f>
        <v>6</v>
      </c>
      <c r="M182" s="10" t="str">
        <f>TEXT(Table1[[#This Row],[Order date ]],"MMM")</f>
        <v>Jun</v>
      </c>
      <c r="N182" s="10" t="str">
        <f>TEXT(Table1[[#This Row],[Order date ]],"DDD")</f>
        <v>Tue</v>
      </c>
      <c r="O182" s="10" t="str">
        <f>_xlfn.CONCAT("Q",ROUNDUP(Table1[[#This Row],[Month]]/3,0))</f>
        <v>Q2</v>
      </c>
      <c r="P182" s="12">
        <f>Table1[[#This Row],[Amount]]*Table1[[#This Row],[Units]]</f>
        <v>1208760</v>
      </c>
      <c r="Q182" s="13" t="str">
        <f>IF(Table1[[#This Row],[Total Sales]]&lt;AVERAGE(Table1[Total Sales]),"Low","High")</f>
        <v>High</v>
      </c>
    </row>
    <row r="183" spans="5:17" x14ac:dyDescent="0.3">
      <c r="E183" s="10">
        <v>179</v>
      </c>
      <c r="F183" s="10" t="s">
        <v>29</v>
      </c>
      <c r="G183" s="10" t="s">
        <v>43</v>
      </c>
      <c r="H183" s="10" t="s">
        <v>19</v>
      </c>
      <c r="I183" s="10">
        <v>1561</v>
      </c>
      <c r="J183" s="10">
        <v>27</v>
      </c>
      <c r="K183" s="11">
        <v>45105</v>
      </c>
      <c r="L183" s="13">
        <f>MONTH(Table1[[#This Row],[Order date ]])</f>
        <v>6</v>
      </c>
      <c r="M183" s="10" t="str">
        <f>TEXT(Table1[[#This Row],[Order date ]],"MMM")</f>
        <v>Jun</v>
      </c>
      <c r="N183" s="10" t="str">
        <f>TEXT(Table1[[#This Row],[Order date ]],"DDD")</f>
        <v>Wed</v>
      </c>
      <c r="O183" s="10" t="str">
        <f>_xlfn.CONCAT("Q",ROUNDUP(Table1[[#This Row],[Month]]/3,0))</f>
        <v>Q2</v>
      </c>
      <c r="P183" s="12">
        <f>Table1[[#This Row],[Amount]]*Table1[[#This Row],[Units]]</f>
        <v>42147</v>
      </c>
      <c r="Q183" s="13" t="str">
        <f>IF(Table1[[#This Row],[Total Sales]]&lt;AVERAGE(Table1[Total Sales]),"Low","High")</f>
        <v>Low</v>
      </c>
    </row>
    <row r="184" spans="5:17" x14ac:dyDescent="0.3">
      <c r="E184" s="10">
        <v>180</v>
      </c>
      <c r="F184" s="10" t="s">
        <v>3</v>
      </c>
      <c r="G184" s="10" t="s">
        <v>38</v>
      </c>
      <c r="H184" s="10" t="s">
        <v>20</v>
      </c>
      <c r="I184" s="10">
        <v>11522</v>
      </c>
      <c r="J184" s="10">
        <v>204</v>
      </c>
      <c r="K184" s="11">
        <v>45106</v>
      </c>
      <c r="L184" s="13">
        <f>MONTH(Table1[[#This Row],[Order date ]])</f>
        <v>6</v>
      </c>
      <c r="M184" s="10" t="str">
        <f>TEXT(Table1[[#This Row],[Order date ]],"MMM")</f>
        <v>Jun</v>
      </c>
      <c r="N184" s="10" t="str">
        <f>TEXT(Table1[[#This Row],[Order date ]],"DDD")</f>
        <v>Thu</v>
      </c>
      <c r="O184" s="10" t="str">
        <f>_xlfn.CONCAT("Q",ROUNDUP(Table1[[#This Row],[Month]]/3,0))</f>
        <v>Q2</v>
      </c>
      <c r="P184" s="12">
        <f>Table1[[#This Row],[Amount]]*Table1[[#This Row],[Units]]</f>
        <v>2350488</v>
      </c>
      <c r="Q184" s="13" t="str">
        <f>IF(Table1[[#This Row],[Total Sales]]&lt;AVERAGE(Table1[Total Sales]),"Low","High")</f>
        <v>High</v>
      </c>
    </row>
    <row r="185" spans="5:17" x14ac:dyDescent="0.3">
      <c r="E185" s="10">
        <v>181</v>
      </c>
      <c r="F185" s="10" t="s">
        <v>32</v>
      </c>
      <c r="G185" s="10" t="s">
        <v>37</v>
      </c>
      <c r="H185" s="10" t="s">
        <v>6</v>
      </c>
      <c r="I185" s="10">
        <v>2317</v>
      </c>
      <c r="J185" s="10">
        <v>123</v>
      </c>
      <c r="K185" s="11">
        <v>45107</v>
      </c>
      <c r="L185" s="13">
        <f>MONTH(Table1[[#This Row],[Order date ]])</f>
        <v>6</v>
      </c>
      <c r="M185" s="10" t="str">
        <f>TEXT(Table1[[#This Row],[Order date ]],"MMM")</f>
        <v>Jun</v>
      </c>
      <c r="N185" s="10" t="str">
        <f>TEXT(Table1[[#This Row],[Order date ]],"DDD")</f>
        <v>Fri</v>
      </c>
      <c r="O185" s="10" t="str">
        <f>_xlfn.CONCAT("Q",ROUNDUP(Table1[[#This Row],[Month]]/3,0))</f>
        <v>Q2</v>
      </c>
      <c r="P185" s="12">
        <f>Table1[[#This Row],[Amount]]*Table1[[#This Row],[Units]]</f>
        <v>284991</v>
      </c>
      <c r="Q185" s="13" t="str">
        <f>IF(Table1[[#This Row],[Total Sales]]&lt;AVERAGE(Table1[Total Sales]),"Low","High")</f>
        <v>Low</v>
      </c>
    </row>
    <row r="186" spans="5:17" x14ac:dyDescent="0.3">
      <c r="E186" s="10">
        <v>182</v>
      </c>
      <c r="F186" s="10" t="s">
        <v>35</v>
      </c>
      <c r="G186" s="10" t="s">
        <v>40</v>
      </c>
      <c r="H186" s="10" t="s">
        <v>21</v>
      </c>
      <c r="I186" s="10">
        <v>3059</v>
      </c>
      <c r="J186" s="10">
        <v>27</v>
      </c>
      <c r="K186" s="11">
        <v>45108</v>
      </c>
      <c r="L186" s="13">
        <f>MONTH(Table1[[#This Row],[Order date ]])</f>
        <v>7</v>
      </c>
      <c r="M186" s="10" t="str">
        <f>TEXT(Table1[[#This Row],[Order date ]],"MMM")</f>
        <v>Jul</v>
      </c>
      <c r="N186" s="10" t="str">
        <f>TEXT(Table1[[#This Row],[Order date ]],"DDD")</f>
        <v>Sat</v>
      </c>
      <c r="O186" s="10" t="str">
        <f>_xlfn.CONCAT("Q",ROUNDUP(Table1[[#This Row],[Month]]/3,0))</f>
        <v>Q3</v>
      </c>
      <c r="P186" s="12">
        <f>Table1[[#This Row],[Amount]]*Table1[[#This Row],[Units]]</f>
        <v>82593</v>
      </c>
      <c r="Q186" s="13" t="str">
        <f>IF(Table1[[#This Row],[Total Sales]]&lt;AVERAGE(Table1[Total Sales]),"Low","High")</f>
        <v>Low</v>
      </c>
    </row>
    <row r="187" spans="5:17" x14ac:dyDescent="0.3">
      <c r="E187" s="10">
        <v>183</v>
      </c>
      <c r="F187" s="10" t="s">
        <v>30</v>
      </c>
      <c r="G187" s="10" t="s">
        <v>40</v>
      </c>
      <c r="H187" s="10" t="s">
        <v>19</v>
      </c>
      <c r="I187" s="10">
        <v>2324</v>
      </c>
      <c r="J187" s="10">
        <v>177</v>
      </c>
      <c r="K187" s="11">
        <v>45109</v>
      </c>
      <c r="L187" s="13">
        <f>MONTH(Table1[[#This Row],[Order date ]])</f>
        <v>7</v>
      </c>
      <c r="M187" s="10" t="str">
        <f>TEXT(Table1[[#This Row],[Order date ]],"MMM")</f>
        <v>Jul</v>
      </c>
      <c r="N187" s="10" t="str">
        <f>TEXT(Table1[[#This Row],[Order date ]],"DDD")</f>
        <v>Sun</v>
      </c>
      <c r="O187" s="10" t="str">
        <f>_xlfn.CONCAT("Q",ROUNDUP(Table1[[#This Row],[Month]]/3,0))</f>
        <v>Q3</v>
      </c>
      <c r="P187" s="12">
        <f>Table1[[#This Row],[Amount]]*Table1[[#This Row],[Units]]</f>
        <v>411348</v>
      </c>
      <c r="Q187" s="13" t="str">
        <f>IF(Table1[[#This Row],[Total Sales]]&lt;AVERAGE(Table1[Total Sales]),"Low","High")</f>
        <v>Low</v>
      </c>
    </row>
    <row r="188" spans="5:17" x14ac:dyDescent="0.3">
      <c r="E188" s="10">
        <v>184</v>
      </c>
      <c r="F188" s="10" t="s">
        <v>34</v>
      </c>
      <c r="G188" s="10" t="s">
        <v>43</v>
      </c>
      <c r="H188" s="10" t="s">
        <v>19</v>
      </c>
      <c r="I188" s="10">
        <v>4956</v>
      </c>
      <c r="J188" s="10">
        <v>171</v>
      </c>
      <c r="K188" s="11">
        <v>45110</v>
      </c>
      <c r="L188" s="13">
        <f>MONTH(Table1[[#This Row],[Order date ]])</f>
        <v>7</v>
      </c>
      <c r="M188" s="10" t="str">
        <f>TEXT(Table1[[#This Row],[Order date ]],"MMM")</f>
        <v>Jul</v>
      </c>
      <c r="N188" s="10" t="str">
        <f>TEXT(Table1[[#This Row],[Order date ]],"DDD")</f>
        <v>Mon</v>
      </c>
      <c r="O188" s="10" t="str">
        <f>_xlfn.CONCAT("Q",ROUNDUP(Table1[[#This Row],[Month]]/3,0))</f>
        <v>Q3</v>
      </c>
      <c r="P188" s="12">
        <f>Table1[[#This Row],[Amount]]*Table1[[#This Row],[Units]]</f>
        <v>847476</v>
      </c>
      <c r="Q188" s="13" t="str">
        <f>IF(Table1[[#This Row],[Total Sales]]&lt;AVERAGE(Table1[Total Sales]),"Low","High")</f>
        <v>High</v>
      </c>
    </row>
    <row r="189" spans="5:17" x14ac:dyDescent="0.3">
      <c r="E189" s="10">
        <v>185</v>
      </c>
      <c r="F189" s="10" t="s">
        <v>35</v>
      </c>
      <c r="G189" s="10" t="s">
        <v>39</v>
      </c>
      <c r="H189" s="10" t="s">
        <v>12</v>
      </c>
      <c r="I189" s="10">
        <v>5355</v>
      </c>
      <c r="J189" s="10">
        <v>204</v>
      </c>
      <c r="K189" s="11">
        <v>45111</v>
      </c>
      <c r="L189" s="13">
        <f>MONTH(Table1[[#This Row],[Order date ]])</f>
        <v>7</v>
      </c>
      <c r="M189" s="10" t="str">
        <f>TEXT(Table1[[#This Row],[Order date ]],"MMM")</f>
        <v>Jul</v>
      </c>
      <c r="N189" s="10" t="str">
        <f>TEXT(Table1[[#This Row],[Order date ]],"DDD")</f>
        <v>Tue</v>
      </c>
      <c r="O189" s="10" t="str">
        <f>_xlfn.CONCAT("Q",ROUNDUP(Table1[[#This Row],[Month]]/3,0))</f>
        <v>Q3</v>
      </c>
      <c r="P189" s="12">
        <f>Table1[[#This Row],[Amount]]*Table1[[#This Row],[Units]]</f>
        <v>1092420</v>
      </c>
      <c r="Q189" s="13" t="str">
        <f>IF(Table1[[#This Row],[Total Sales]]&lt;AVERAGE(Table1[Total Sales]),"Low","High")</f>
        <v>High</v>
      </c>
    </row>
    <row r="190" spans="5:17" x14ac:dyDescent="0.3">
      <c r="E190" s="10">
        <v>186</v>
      </c>
      <c r="F190" s="10" t="s">
        <v>34</v>
      </c>
      <c r="G190" s="10" t="s">
        <v>39</v>
      </c>
      <c r="H190" s="10" t="s">
        <v>7</v>
      </c>
      <c r="I190" s="10">
        <v>7259</v>
      </c>
      <c r="J190" s="10">
        <v>276</v>
      </c>
      <c r="K190" s="11">
        <v>45112</v>
      </c>
      <c r="L190" s="13">
        <f>MONTH(Table1[[#This Row],[Order date ]])</f>
        <v>7</v>
      </c>
      <c r="M190" s="10" t="str">
        <f>TEXT(Table1[[#This Row],[Order date ]],"MMM")</f>
        <v>Jul</v>
      </c>
      <c r="N190" s="10" t="str">
        <f>TEXT(Table1[[#This Row],[Order date ]],"DDD")</f>
        <v>Wed</v>
      </c>
      <c r="O190" s="10" t="str">
        <f>_xlfn.CONCAT("Q",ROUNDUP(Table1[[#This Row],[Month]]/3,0))</f>
        <v>Q3</v>
      </c>
      <c r="P190" s="12">
        <f>Table1[[#This Row],[Amount]]*Table1[[#This Row],[Units]]</f>
        <v>2003484</v>
      </c>
      <c r="Q190" s="13" t="str">
        <f>IF(Table1[[#This Row],[Total Sales]]&lt;AVERAGE(Table1[Total Sales]),"Low","High")</f>
        <v>High</v>
      </c>
    </row>
    <row r="191" spans="5:17" x14ac:dyDescent="0.3">
      <c r="E191" s="10">
        <v>187</v>
      </c>
      <c r="F191" s="10" t="s">
        <v>29</v>
      </c>
      <c r="G191" s="10" t="s">
        <v>40</v>
      </c>
      <c r="H191" s="10" t="s">
        <v>19</v>
      </c>
      <c r="I191" s="10">
        <v>6279</v>
      </c>
      <c r="J191" s="10">
        <v>45</v>
      </c>
      <c r="K191" s="11">
        <v>45113</v>
      </c>
      <c r="L191" s="13">
        <f>MONTH(Table1[[#This Row],[Order date ]])</f>
        <v>7</v>
      </c>
      <c r="M191" s="10" t="str">
        <f>TEXT(Table1[[#This Row],[Order date ]],"MMM")</f>
        <v>Jul</v>
      </c>
      <c r="N191" s="10" t="str">
        <f>TEXT(Table1[[#This Row],[Order date ]],"DDD")</f>
        <v>Thu</v>
      </c>
      <c r="O191" s="10" t="str">
        <f>_xlfn.CONCAT("Q",ROUNDUP(Table1[[#This Row],[Month]]/3,0))</f>
        <v>Q3</v>
      </c>
      <c r="P191" s="12">
        <f>Table1[[#This Row],[Amount]]*Table1[[#This Row],[Units]]</f>
        <v>282555</v>
      </c>
      <c r="Q191" s="13" t="str">
        <f>IF(Table1[[#This Row],[Total Sales]]&lt;AVERAGE(Table1[Total Sales]),"Low","High")</f>
        <v>Low</v>
      </c>
    </row>
    <row r="192" spans="5:17" x14ac:dyDescent="0.3">
      <c r="E192" s="10">
        <v>188</v>
      </c>
      <c r="F192" s="10" t="s">
        <v>36</v>
      </c>
      <c r="G192" s="10" t="s">
        <v>37</v>
      </c>
      <c r="H192" s="10" t="s">
        <v>22</v>
      </c>
      <c r="I192" s="10">
        <v>2541</v>
      </c>
      <c r="J192" s="10">
        <v>45</v>
      </c>
      <c r="K192" s="11">
        <v>45114</v>
      </c>
      <c r="L192" s="13">
        <f>MONTH(Table1[[#This Row],[Order date ]])</f>
        <v>7</v>
      </c>
      <c r="M192" s="10" t="str">
        <f>TEXT(Table1[[#This Row],[Order date ]],"MMM")</f>
        <v>Jul</v>
      </c>
      <c r="N192" s="10" t="str">
        <f>TEXT(Table1[[#This Row],[Order date ]],"DDD")</f>
        <v>Fri</v>
      </c>
      <c r="O192" s="10" t="str">
        <f>_xlfn.CONCAT("Q",ROUNDUP(Table1[[#This Row],[Month]]/3,0))</f>
        <v>Q3</v>
      </c>
      <c r="P192" s="12">
        <f>Table1[[#This Row],[Amount]]*Table1[[#This Row],[Units]]</f>
        <v>114345</v>
      </c>
      <c r="Q192" s="13" t="str">
        <f>IF(Table1[[#This Row],[Total Sales]]&lt;AVERAGE(Table1[Total Sales]),"Low","High")</f>
        <v>Low</v>
      </c>
    </row>
    <row r="193" spans="5:17" x14ac:dyDescent="0.3">
      <c r="E193" s="10">
        <v>189</v>
      </c>
      <c r="F193" s="10" t="s">
        <v>32</v>
      </c>
      <c r="G193" s="10" t="s">
        <v>45</v>
      </c>
      <c r="H193" s="10" t="s">
        <v>20</v>
      </c>
      <c r="I193" s="10">
        <v>3864</v>
      </c>
      <c r="J193" s="10">
        <v>177</v>
      </c>
      <c r="K193" s="11">
        <v>45115</v>
      </c>
      <c r="L193" s="13">
        <f>MONTH(Table1[[#This Row],[Order date ]])</f>
        <v>7</v>
      </c>
      <c r="M193" s="10" t="str">
        <f>TEXT(Table1[[#This Row],[Order date ]],"MMM")</f>
        <v>Jul</v>
      </c>
      <c r="N193" s="10" t="str">
        <f>TEXT(Table1[[#This Row],[Order date ]],"DDD")</f>
        <v>Sat</v>
      </c>
      <c r="O193" s="10" t="str">
        <f>_xlfn.CONCAT("Q",ROUNDUP(Table1[[#This Row],[Month]]/3,0))</f>
        <v>Q3</v>
      </c>
      <c r="P193" s="12">
        <f>Table1[[#This Row],[Amount]]*Table1[[#This Row],[Units]]</f>
        <v>683928</v>
      </c>
      <c r="Q193" s="13" t="str">
        <f>IF(Table1[[#This Row],[Total Sales]]&lt;AVERAGE(Table1[Total Sales]),"Low","High")</f>
        <v>High</v>
      </c>
    </row>
    <row r="194" spans="5:17" x14ac:dyDescent="0.3">
      <c r="E194" s="10">
        <v>190</v>
      </c>
      <c r="F194" s="10" t="s">
        <v>33</v>
      </c>
      <c r="G194" s="10" t="s">
        <v>38</v>
      </c>
      <c r="H194" s="10" t="s">
        <v>6</v>
      </c>
      <c r="I194" s="10">
        <v>6146</v>
      </c>
      <c r="J194" s="10">
        <v>63</v>
      </c>
      <c r="K194" s="11">
        <v>45116</v>
      </c>
      <c r="L194" s="13">
        <f>MONTH(Table1[[#This Row],[Order date ]])</f>
        <v>7</v>
      </c>
      <c r="M194" s="10" t="str">
        <f>TEXT(Table1[[#This Row],[Order date ]],"MMM")</f>
        <v>Jul</v>
      </c>
      <c r="N194" s="10" t="str">
        <f>TEXT(Table1[[#This Row],[Order date ]],"DDD")</f>
        <v>Sun</v>
      </c>
      <c r="O194" s="10" t="str">
        <f>_xlfn.CONCAT("Q",ROUNDUP(Table1[[#This Row],[Month]]/3,0))</f>
        <v>Q3</v>
      </c>
      <c r="P194" s="12">
        <f>Table1[[#This Row],[Amount]]*Table1[[#This Row],[Units]]</f>
        <v>387198</v>
      </c>
      <c r="Q194" s="13" t="str">
        <f>IF(Table1[[#This Row],[Total Sales]]&lt;AVERAGE(Table1[Total Sales]),"Low","High")</f>
        <v>Low</v>
      </c>
    </row>
    <row r="195" spans="5:17" x14ac:dyDescent="0.3">
      <c r="E195" s="10">
        <v>191</v>
      </c>
      <c r="F195" s="10" t="s">
        <v>3</v>
      </c>
      <c r="G195" s="10" t="s">
        <v>43</v>
      </c>
      <c r="H195" s="10" t="s">
        <v>11</v>
      </c>
      <c r="I195" s="10">
        <v>2639</v>
      </c>
      <c r="J195" s="10">
        <v>204</v>
      </c>
      <c r="K195" s="11">
        <v>45117</v>
      </c>
      <c r="L195" s="13">
        <f>MONTH(Table1[[#This Row],[Order date ]])</f>
        <v>7</v>
      </c>
      <c r="M195" s="10" t="str">
        <f>TEXT(Table1[[#This Row],[Order date ]],"MMM")</f>
        <v>Jul</v>
      </c>
      <c r="N195" s="10" t="str">
        <f>TEXT(Table1[[#This Row],[Order date ]],"DDD")</f>
        <v>Mon</v>
      </c>
      <c r="O195" s="10" t="str">
        <f>_xlfn.CONCAT("Q",ROUNDUP(Table1[[#This Row],[Month]]/3,0))</f>
        <v>Q3</v>
      </c>
      <c r="P195" s="12">
        <f>Table1[[#This Row],[Amount]]*Table1[[#This Row],[Units]]</f>
        <v>538356</v>
      </c>
      <c r="Q195" s="13" t="str">
        <f>IF(Table1[[#This Row],[Total Sales]]&lt;AVERAGE(Table1[Total Sales]),"Low","High")</f>
        <v>Low</v>
      </c>
    </row>
    <row r="196" spans="5:17" x14ac:dyDescent="0.3">
      <c r="E196" s="10">
        <v>192</v>
      </c>
      <c r="F196" s="10" t="s">
        <v>29</v>
      </c>
      <c r="G196" s="10" t="s">
        <v>40</v>
      </c>
      <c r="H196" s="10" t="s">
        <v>15</v>
      </c>
      <c r="I196" s="10">
        <v>1890</v>
      </c>
      <c r="J196" s="10">
        <v>195</v>
      </c>
      <c r="K196" s="11">
        <v>45118</v>
      </c>
      <c r="L196" s="13">
        <f>MONTH(Table1[[#This Row],[Order date ]])</f>
        <v>7</v>
      </c>
      <c r="M196" s="10" t="str">
        <f>TEXT(Table1[[#This Row],[Order date ]],"MMM")</f>
        <v>Jul</v>
      </c>
      <c r="N196" s="10" t="str">
        <f>TEXT(Table1[[#This Row],[Order date ]],"DDD")</f>
        <v>Tue</v>
      </c>
      <c r="O196" s="10" t="str">
        <f>_xlfn.CONCAT("Q",ROUNDUP(Table1[[#This Row],[Month]]/3,0))</f>
        <v>Q3</v>
      </c>
      <c r="P196" s="12">
        <f>Table1[[#This Row],[Amount]]*Table1[[#This Row],[Units]]</f>
        <v>368550</v>
      </c>
      <c r="Q196" s="13" t="str">
        <f>IF(Table1[[#This Row],[Total Sales]]&lt;AVERAGE(Table1[Total Sales]),"Low","High")</f>
        <v>Low</v>
      </c>
    </row>
    <row r="197" spans="5:17" x14ac:dyDescent="0.3">
      <c r="E197" s="10">
        <v>193</v>
      </c>
      <c r="F197" s="10" t="s">
        <v>31</v>
      </c>
      <c r="G197" s="10" t="s">
        <v>39</v>
      </c>
      <c r="H197" s="10" t="s">
        <v>7</v>
      </c>
      <c r="I197" s="10">
        <v>1932</v>
      </c>
      <c r="J197" s="10">
        <v>369</v>
      </c>
      <c r="K197" s="11">
        <v>45119</v>
      </c>
      <c r="L197" s="13">
        <f>MONTH(Table1[[#This Row],[Order date ]])</f>
        <v>7</v>
      </c>
      <c r="M197" s="10" t="str">
        <f>TEXT(Table1[[#This Row],[Order date ]],"MMM")</f>
        <v>Jul</v>
      </c>
      <c r="N197" s="10" t="str">
        <f>TEXT(Table1[[#This Row],[Order date ]],"DDD")</f>
        <v>Wed</v>
      </c>
      <c r="O197" s="10" t="str">
        <f>_xlfn.CONCAT("Q",ROUNDUP(Table1[[#This Row],[Month]]/3,0))</f>
        <v>Q3</v>
      </c>
      <c r="P197" s="12">
        <f>Table1[[#This Row],[Amount]]*Table1[[#This Row],[Units]]</f>
        <v>712908</v>
      </c>
      <c r="Q197" s="13" t="str">
        <f>IF(Table1[[#This Row],[Total Sales]]&lt;AVERAGE(Table1[Total Sales]),"Low","High")</f>
        <v>High</v>
      </c>
    </row>
    <row r="198" spans="5:17" x14ac:dyDescent="0.3">
      <c r="E198" s="10">
        <v>194</v>
      </c>
      <c r="F198" s="10" t="s">
        <v>34</v>
      </c>
      <c r="G198" s="10" t="s">
        <v>39</v>
      </c>
      <c r="H198" s="10" t="s">
        <v>18</v>
      </c>
      <c r="I198" s="10">
        <v>6300</v>
      </c>
      <c r="J198" s="10">
        <v>42</v>
      </c>
      <c r="K198" s="11">
        <v>45120</v>
      </c>
      <c r="L198" s="13">
        <f>MONTH(Table1[[#This Row],[Order date ]])</f>
        <v>7</v>
      </c>
      <c r="M198" s="10" t="str">
        <f>TEXT(Table1[[#This Row],[Order date ]],"MMM")</f>
        <v>Jul</v>
      </c>
      <c r="N198" s="10" t="str">
        <f>TEXT(Table1[[#This Row],[Order date ]],"DDD")</f>
        <v>Thu</v>
      </c>
      <c r="O198" s="10" t="str">
        <f>_xlfn.CONCAT("Q",ROUNDUP(Table1[[#This Row],[Month]]/3,0))</f>
        <v>Q3</v>
      </c>
      <c r="P198" s="12">
        <f>Table1[[#This Row],[Amount]]*Table1[[#This Row],[Units]]</f>
        <v>264600</v>
      </c>
      <c r="Q198" s="13" t="str">
        <f>IF(Table1[[#This Row],[Total Sales]]&lt;AVERAGE(Table1[Total Sales]),"Low","High")</f>
        <v>Low</v>
      </c>
    </row>
    <row r="199" spans="5:17" x14ac:dyDescent="0.3">
      <c r="E199" s="10">
        <v>195</v>
      </c>
      <c r="F199" s="10" t="s">
        <v>32</v>
      </c>
      <c r="G199" s="10" t="s">
        <v>40</v>
      </c>
      <c r="H199" s="10" t="s">
        <v>23</v>
      </c>
      <c r="I199" s="10">
        <v>560</v>
      </c>
      <c r="J199" s="10">
        <v>81</v>
      </c>
      <c r="K199" s="11">
        <v>45121</v>
      </c>
      <c r="L199" s="13">
        <f>MONTH(Table1[[#This Row],[Order date ]])</f>
        <v>7</v>
      </c>
      <c r="M199" s="10" t="str">
        <f>TEXT(Table1[[#This Row],[Order date ]],"MMM")</f>
        <v>Jul</v>
      </c>
      <c r="N199" s="10" t="str">
        <f>TEXT(Table1[[#This Row],[Order date ]],"DDD")</f>
        <v>Fri</v>
      </c>
      <c r="O199" s="10" t="str">
        <f>_xlfn.CONCAT("Q",ROUNDUP(Table1[[#This Row],[Month]]/3,0))</f>
        <v>Q3</v>
      </c>
      <c r="P199" s="12">
        <f>Table1[[#This Row],[Amount]]*Table1[[#This Row],[Units]]</f>
        <v>45360</v>
      </c>
      <c r="Q199" s="13" t="str">
        <f>IF(Table1[[#This Row],[Total Sales]]&lt;AVERAGE(Table1[Total Sales]),"Low","High")</f>
        <v>Low</v>
      </c>
    </row>
    <row r="200" spans="5:17" x14ac:dyDescent="0.3">
      <c r="E200" s="10">
        <v>196</v>
      </c>
      <c r="F200" s="10" t="s">
        <v>3</v>
      </c>
      <c r="G200" s="10" t="s">
        <v>40</v>
      </c>
      <c r="H200" s="10" t="s">
        <v>19</v>
      </c>
      <c r="I200" s="10">
        <v>2856</v>
      </c>
      <c r="J200" s="10">
        <v>246</v>
      </c>
      <c r="K200" s="11">
        <v>45122</v>
      </c>
      <c r="L200" s="13">
        <f>MONTH(Table1[[#This Row],[Order date ]])</f>
        <v>7</v>
      </c>
      <c r="M200" s="10" t="str">
        <f>TEXT(Table1[[#This Row],[Order date ]],"MMM")</f>
        <v>Jul</v>
      </c>
      <c r="N200" s="10" t="str">
        <f>TEXT(Table1[[#This Row],[Order date ]],"DDD")</f>
        <v>Sat</v>
      </c>
      <c r="O200" s="10" t="str">
        <f>_xlfn.CONCAT("Q",ROUNDUP(Table1[[#This Row],[Month]]/3,0))</f>
        <v>Q3</v>
      </c>
      <c r="P200" s="12">
        <f>Table1[[#This Row],[Amount]]*Table1[[#This Row],[Units]]</f>
        <v>702576</v>
      </c>
      <c r="Q200" s="13" t="str">
        <f>IF(Table1[[#This Row],[Total Sales]]&lt;AVERAGE(Table1[Total Sales]),"Low","High")</f>
        <v>High</v>
      </c>
    </row>
    <row r="201" spans="5:17" x14ac:dyDescent="0.3">
      <c r="E201" s="10">
        <v>197</v>
      </c>
      <c r="F201" s="10" t="s">
        <v>3</v>
      </c>
      <c r="G201" s="10" t="s">
        <v>39</v>
      </c>
      <c r="H201" s="10" t="s">
        <v>10</v>
      </c>
      <c r="I201" s="10">
        <v>707</v>
      </c>
      <c r="J201" s="10">
        <v>174</v>
      </c>
      <c r="K201" s="11">
        <v>45123</v>
      </c>
      <c r="L201" s="13">
        <f>MONTH(Table1[[#This Row],[Order date ]])</f>
        <v>7</v>
      </c>
      <c r="M201" s="10" t="str">
        <f>TEXT(Table1[[#This Row],[Order date ]],"MMM")</f>
        <v>Jul</v>
      </c>
      <c r="N201" s="10" t="str">
        <f>TEXT(Table1[[#This Row],[Order date ]],"DDD")</f>
        <v>Sun</v>
      </c>
      <c r="O201" s="10" t="str">
        <f>_xlfn.CONCAT("Q",ROUNDUP(Table1[[#This Row],[Month]]/3,0))</f>
        <v>Q3</v>
      </c>
      <c r="P201" s="12">
        <f>Table1[[#This Row],[Amount]]*Table1[[#This Row],[Units]]</f>
        <v>123018</v>
      </c>
      <c r="Q201" s="13" t="str">
        <f>IF(Table1[[#This Row],[Total Sales]]&lt;AVERAGE(Table1[Total Sales]),"Low","High")</f>
        <v>Low</v>
      </c>
    </row>
    <row r="202" spans="5:17" x14ac:dyDescent="0.3">
      <c r="E202" s="10">
        <v>198</v>
      </c>
      <c r="F202" s="10" t="s">
        <v>29</v>
      </c>
      <c r="G202" s="10" t="s">
        <v>45</v>
      </c>
      <c r="H202" s="10" t="s">
        <v>23</v>
      </c>
      <c r="I202" s="10">
        <v>3598</v>
      </c>
      <c r="J202" s="10">
        <v>81</v>
      </c>
      <c r="K202" s="11">
        <v>45124</v>
      </c>
      <c r="L202" s="13">
        <f>MONTH(Table1[[#This Row],[Order date ]])</f>
        <v>7</v>
      </c>
      <c r="M202" s="10" t="str">
        <f>TEXT(Table1[[#This Row],[Order date ]],"MMM")</f>
        <v>Jul</v>
      </c>
      <c r="N202" s="10" t="str">
        <f>TEXT(Table1[[#This Row],[Order date ]],"DDD")</f>
        <v>Mon</v>
      </c>
      <c r="O202" s="10" t="str">
        <f>_xlfn.CONCAT("Q",ROUNDUP(Table1[[#This Row],[Month]]/3,0))</f>
        <v>Q3</v>
      </c>
      <c r="P202" s="12">
        <f>Table1[[#This Row],[Amount]]*Table1[[#This Row],[Units]]</f>
        <v>291438</v>
      </c>
      <c r="Q202" s="13" t="str">
        <f>IF(Table1[[#This Row],[Total Sales]]&lt;AVERAGE(Table1[Total Sales]),"Low","High")</f>
        <v>Low</v>
      </c>
    </row>
    <row r="203" spans="5:17" x14ac:dyDescent="0.3">
      <c r="E203" s="10">
        <v>199</v>
      </c>
      <c r="F203" s="10" t="s">
        <v>36</v>
      </c>
      <c r="G203" s="10" t="s">
        <v>45</v>
      </c>
      <c r="H203" s="10" t="s">
        <v>15</v>
      </c>
      <c r="I203" s="10">
        <v>6853</v>
      </c>
      <c r="J203" s="10">
        <v>372</v>
      </c>
      <c r="K203" s="11">
        <v>45125</v>
      </c>
      <c r="L203" s="13">
        <f>MONTH(Table1[[#This Row],[Order date ]])</f>
        <v>7</v>
      </c>
      <c r="M203" s="10" t="str">
        <f>TEXT(Table1[[#This Row],[Order date ]],"MMM")</f>
        <v>Jul</v>
      </c>
      <c r="N203" s="10" t="str">
        <f>TEXT(Table1[[#This Row],[Order date ]],"DDD")</f>
        <v>Tue</v>
      </c>
      <c r="O203" s="10" t="str">
        <f>_xlfn.CONCAT("Q",ROUNDUP(Table1[[#This Row],[Month]]/3,0))</f>
        <v>Q3</v>
      </c>
      <c r="P203" s="12">
        <f>Table1[[#This Row],[Amount]]*Table1[[#This Row],[Units]]</f>
        <v>2549316</v>
      </c>
      <c r="Q203" s="13" t="str">
        <f>IF(Table1[[#This Row],[Total Sales]]&lt;AVERAGE(Table1[Total Sales]),"Low","High")</f>
        <v>High</v>
      </c>
    </row>
    <row r="204" spans="5:17" x14ac:dyDescent="0.3">
      <c r="E204" s="10">
        <v>200</v>
      </c>
      <c r="F204" s="10" t="s">
        <v>36</v>
      </c>
      <c r="G204" s="10" t="s">
        <v>45</v>
      </c>
      <c r="H204" s="10" t="s">
        <v>9</v>
      </c>
      <c r="I204" s="10">
        <v>4725</v>
      </c>
      <c r="J204" s="10">
        <v>174</v>
      </c>
      <c r="K204" s="11">
        <v>45126</v>
      </c>
      <c r="L204" s="13">
        <f>MONTH(Table1[[#This Row],[Order date ]])</f>
        <v>7</v>
      </c>
      <c r="M204" s="10" t="str">
        <f>TEXT(Table1[[#This Row],[Order date ]],"MMM")</f>
        <v>Jul</v>
      </c>
      <c r="N204" s="10" t="str">
        <f>TEXT(Table1[[#This Row],[Order date ]],"DDD")</f>
        <v>Wed</v>
      </c>
      <c r="O204" s="10" t="str">
        <f>_xlfn.CONCAT("Q",ROUNDUP(Table1[[#This Row],[Month]]/3,0))</f>
        <v>Q3</v>
      </c>
      <c r="P204" s="12">
        <f>Table1[[#This Row],[Amount]]*Table1[[#This Row],[Units]]</f>
        <v>822150</v>
      </c>
      <c r="Q204" s="13" t="str">
        <f>IF(Table1[[#This Row],[Total Sales]]&lt;AVERAGE(Table1[Total Sales]),"Low","High")</f>
        <v>High</v>
      </c>
    </row>
    <row r="205" spans="5:17" x14ac:dyDescent="0.3">
      <c r="E205" s="10">
        <v>201</v>
      </c>
      <c r="F205" s="10" t="s">
        <v>30</v>
      </c>
      <c r="G205" s="10" t="s">
        <v>38</v>
      </c>
      <c r="H205" s="10" t="s">
        <v>25</v>
      </c>
      <c r="I205" s="10">
        <v>10304</v>
      </c>
      <c r="J205" s="10">
        <v>84</v>
      </c>
      <c r="K205" s="11">
        <v>45127</v>
      </c>
      <c r="L205" s="13">
        <f>MONTH(Table1[[#This Row],[Order date ]])</f>
        <v>7</v>
      </c>
      <c r="M205" s="10" t="str">
        <f>TEXT(Table1[[#This Row],[Order date ]],"MMM")</f>
        <v>Jul</v>
      </c>
      <c r="N205" s="10" t="str">
        <f>TEXT(Table1[[#This Row],[Order date ]],"DDD")</f>
        <v>Thu</v>
      </c>
      <c r="O205" s="10" t="str">
        <f>_xlfn.CONCAT("Q",ROUNDUP(Table1[[#This Row],[Month]]/3,0))</f>
        <v>Q3</v>
      </c>
      <c r="P205" s="12">
        <f>Table1[[#This Row],[Amount]]*Table1[[#This Row],[Units]]</f>
        <v>865536</v>
      </c>
      <c r="Q205" s="13" t="str">
        <f>IF(Table1[[#This Row],[Total Sales]]&lt;AVERAGE(Table1[Total Sales]),"Low","High")</f>
        <v>High</v>
      </c>
    </row>
    <row r="206" spans="5:17" x14ac:dyDescent="0.3">
      <c r="E206" s="10">
        <v>202</v>
      </c>
      <c r="F206" s="10" t="s">
        <v>30</v>
      </c>
      <c r="G206" s="10" t="s">
        <v>39</v>
      </c>
      <c r="H206" s="10" t="s">
        <v>9</v>
      </c>
      <c r="I206" s="10">
        <v>1274</v>
      </c>
      <c r="J206" s="10">
        <v>225</v>
      </c>
      <c r="K206" s="11">
        <v>45128</v>
      </c>
      <c r="L206" s="13">
        <f>MONTH(Table1[[#This Row],[Order date ]])</f>
        <v>7</v>
      </c>
      <c r="M206" s="10" t="str">
        <f>TEXT(Table1[[#This Row],[Order date ]],"MMM")</f>
        <v>Jul</v>
      </c>
      <c r="N206" s="10" t="str">
        <f>TEXT(Table1[[#This Row],[Order date ]],"DDD")</f>
        <v>Fri</v>
      </c>
      <c r="O206" s="10" t="str">
        <f>_xlfn.CONCAT("Q",ROUNDUP(Table1[[#This Row],[Month]]/3,0))</f>
        <v>Q3</v>
      </c>
      <c r="P206" s="12">
        <f>Table1[[#This Row],[Amount]]*Table1[[#This Row],[Units]]</f>
        <v>286650</v>
      </c>
      <c r="Q206" s="13" t="str">
        <f>IF(Table1[[#This Row],[Total Sales]]&lt;AVERAGE(Table1[Total Sales]),"Low","High")</f>
        <v>Low</v>
      </c>
    </row>
    <row r="207" spans="5:17" x14ac:dyDescent="0.3">
      <c r="E207" s="10">
        <v>203</v>
      </c>
      <c r="F207" s="10" t="s">
        <v>33</v>
      </c>
      <c r="G207" s="10" t="s">
        <v>38</v>
      </c>
      <c r="H207" s="10" t="s">
        <v>23</v>
      </c>
      <c r="I207" s="10">
        <v>1526</v>
      </c>
      <c r="J207" s="10">
        <v>105</v>
      </c>
      <c r="K207" s="11">
        <v>45129</v>
      </c>
      <c r="L207" s="13">
        <f>MONTH(Table1[[#This Row],[Order date ]])</f>
        <v>7</v>
      </c>
      <c r="M207" s="10" t="str">
        <f>TEXT(Table1[[#This Row],[Order date ]],"MMM")</f>
        <v>Jul</v>
      </c>
      <c r="N207" s="10" t="str">
        <f>TEXT(Table1[[#This Row],[Order date ]],"DDD")</f>
        <v>Sat</v>
      </c>
      <c r="O207" s="10" t="str">
        <f>_xlfn.CONCAT("Q",ROUNDUP(Table1[[#This Row],[Month]]/3,0))</f>
        <v>Q3</v>
      </c>
      <c r="P207" s="12">
        <f>Table1[[#This Row],[Amount]]*Table1[[#This Row],[Units]]</f>
        <v>160230</v>
      </c>
      <c r="Q207" s="13" t="str">
        <f>IF(Table1[[#This Row],[Total Sales]]&lt;AVERAGE(Table1[Total Sales]),"Low","High")</f>
        <v>Low</v>
      </c>
    </row>
    <row r="208" spans="5:17" x14ac:dyDescent="0.3">
      <c r="E208" s="10">
        <v>204</v>
      </c>
      <c r="F208" s="10" t="s">
        <v>36</v>
      </c>
      <c r="G208" s="10" t="s">
        <v>43</v>
      </c>
      <c r="H208" s="10" t="s">
        <v>21</v>
      </c>
      <c r="I208" s="10">
        <v>3101</v>
      </c>
      <c r="J208" s="10">
        <v>225</v>
      </c>
      <c r="K208" s="11">
        <v>45130</v>
      </c>
      <c r="L208" s="13">
        <f>MONTH(Table1[[#This Row],[Order date ]])</f>
        <v>7</v>
      </c>
      <c r="M208" s="10" t="str">
        <f>TEXT(Table1[[#This Row],[Order date ]],"MMM")</f>
        <v>Jul</v>
      </c>
      <c r="N208" s="10" t="str">
        <f>TEXT(Table1[[#This Row],[Order date ]],"DDD")</f>
        <v>Sun</v>
      </c>
      <c r="O208" s="10" t="str">
        <f>_xlfn.CONCAT("Q",ROUNDUP(Table1[[#This Row],[Month]]/3,0))</f>
        <v>Q3</v>
      </c>
      <c r="P208" s="12">
        <f>Table1[[#This Row],[Amount]]*Table1[[#This Row],[Units]]</f>
        <v>697725</v>
      </c>
      <c r="Q208" s="13" t="str">
        <f>IF(Table1[[#This Row],[Total Sales]]&lt;AVERAGE(Table1[Total Sales]),"Low","High")</f>
        <v>High</v>
      </c>
    </row>
    <row r="209" spans="5:17" x14ac:dyDescent="0.3">
      <c r="E209" s="10">
        <v>205</v>
      </c>
      <c r="F209" s="10" t="s">
        <v>28</v>
      </c>
      <c r="G209" s="10" t="s">
        <v>40</v>
      </c>
      <c r="H209" s="10" t="s">
        <v>7</v>
      </c>
      <c r="I209" s="10">
        <v>1057</v>
      </c>
      <c r="J209" s="10">
        <v>54</v>
      </c>
      <c r="K209" s="11">
        <v>45131</v>
      </c>
      <c r="L209" s="13">
        <f>MONTH(Table1[[#This Row],[Order date ]])</f>
        <v>7</v>
      </c>
      <c r="M209" s="10" t="str">
        <f>TEXT(Table1[[#This Row],[Order date ]],"MMM")</f>
        <v>Jul</v>
      </c>
      <c r="N209" s="10" t="str">
        <f>TEXT(Table1[[#This Row],[Order date ]],"DDD")</f>
        <v>Mon</v>
      </c>
      <c r="O209" s="10" t="str">
        <f>_xlfn.CONCAT("Q",ROUNDUP(Table1[[#This Row],[Month]]/3,0))</f>
        <v>Q3</v>
      </c>
      <c r="P209" s="12">
        <f>Table1[[#This Row],[Amount]]*Table1[[#This Row],[Units]]</f>
        <v>57078</v>
      </c>
      <c r="Q209" s="13" t="str">
        <f>IF(Table1[[#This Row],[Total Sales]]&lt;AVERAGE(Table1[Total Sales]),"Low","High")</f>
        <v>Low</v>
      </c>
    </row>
    <row r="210" spans="5:17" x14ac:dyDescent="0.3">
      <c r="E210" s="10">
        <v>206</v>
      </c>
      <c r="F210" s="10" t="s">
        <v>31</v>
      </c>
      <c r="G210" s="10" t="s">
        <v>40</v>
      </c>
      <c r="H210" s="10" t="s">
        <v>19</v>
      </c>
      <c r="I210" s="10">
        <v>5306</v>
      </c>
      <c r="J210" s="10">
        <v>0</v>
      </c>
      <c r="K210" s="11">
        <v>45132</v>
      </c>
      <c r="L210" s="13">
        <f>MONTH(Table1[[#This Row],[Order date ]])</f>
        <v>7</v>
      </c>
      <c r="M210" s="10" t="str">
        <f>TEXT(Table1[[#This Row],[Order date ]],"MMM")</f>
        <v>Jul</v>
      </c>
      <c r="N210" s="10" t="str">
        <f>TEXT(Table1[[#This Row],[Order date ]],"DDD")</f>
        <v>Tue</v>
      </c>
      <c r="O210" s="10" t="str">
        <f>_xlfn.CONCAT("Q",ROUNDUP(Table1[[#This Row],[Month]]/3,0))</f>
        <v>Q3</v>
      </c>
      <c r="P210" s="12">
        <f>Table1[[#This Row],[Amount]]*Table1[[#This Row],[Units]]</f>
        <v>0</v>
      </c>
      <c r="Q210" s="13" t="str">
        <f>IF(Table1[[#This Row],[Total Sales]]&lt;AVERAGE(Table1[Total Sales]),"Low","High")</f>
        <v>Low</v>
      </c>
    </row>
    <row r="211" spans="5:17" x14ac:dyDescent="0.3">
      <c r="E211" s="10">
        <v>207</v>
      </c>
      <c r="F211" s="10" t="s">
        <v>33</v>
      </c>
      <c r="G211" s="10" t="s">
        <v>43</v>
      </c>
      <c r="H211" s="10" t="s">
        <v>17</v>
      </c>
      <c r="I211" s="10">
        <v>4018</v>
      </c>
      <c r="J211" s="10">
        <v>171</v>
      </c>
      <c r="K211" s="11">
        <v>45133</v>
      </c>
      <c r="L211" s="13">
        <f>MONTH(Table1[[#This Row],[Order date ]])</f>
        <v>7</v>
      </c>
      <c r="M211" s="10" t="str">
        <f>TEXT(Table1[[#This Row],[Order date ]],"MMM")</f>
        <v>Jul</v>
      </c>
      <c r="N211" s="10" t="str">
        <f>TEXT(Table1[[#This Row],[Order date ]],"DDD")</f>
        <v>Wed</v>
      </c>
      <c r="O211" s="10" t="str">
        <f>_xlfn.CONCAT("Q",ROUNDUP(Table1[[#This Row],[Month]]/3,0))</f>
        <v>Q3</v>
      </c>
      <c r="P211" s="12">
        <f>Table1[[#This Row],[Amount]]*Table1[[#This Row],[Units]]</f>
        <v>687078</v>
      </c>
      <c r="Q211" s="13" t="str">
        <f>IF(Table1[[#This Row],[Total Sales]]&lt;AVERAGE(Table1[Total Sales]),"Low","High")</f>
        <v>High</v>
      </c>
    </row>
    <row r="212" spans="5:17" x14ac:dyDescent="0.3">
      <c r="E212" s="10">
        <v>208</v>
      </c>
      <c r="F212" s="10" t="s">
        <v>3</v>
      </c>
      <c r="G212" s="10" t="s">
        <v>39</v>
      </c>
      <c r="H212" s="10" t="s">
        <v>9</v>
      </c>
      <c r="I212" s="10">
        <v>938</v>
      </c>
      <c r="J212" s="10">
        <v>189</v>
      </c>
      <c r="K212" s="11">
        <v>45134</v>
      </c>
      <c r="L212" s="13">
        <f>MONTH(Table1[[#This Row],[Order date ]])</f>
        <v>7</v>
      </c>
      <c r="M212" s="10" t="str">
        <f>TEXT(Table1[[#This Row],[Order date ]],"MMM")</f>
        <v>Jul</v>
      </c>
      <c r="N212" s="10" t="str">
        <f>TEXT(Table1[[#This Row],[Order date ]],"DDD")</f>
        <v>Thu</v>
      </c>
      <c r="O212" s="10" t="str">
        <f>_xlfn.CONCAT("Q",ROUNDUP(Table1[[#This Row],[Month]]/3,0))</f>
        <v>Q3</v>
      </c>
      <c r="P212" s="12">
        <f>Table1[[#This Row],[Amount]]*Table1[[#This Row],[Units]]</f>
        <v>177282</v>
      </c>
      <c r="Q212" s="13" t="str">
        <f>IF(Table1[[#This Row],[Total Sales]]&lt;AVERAGE(Table1[Total Sales]),"Low","High")</f>
        <v>Low</v>
      </c>
    </row>
    <row r="213" spans="5:17" x14ac:dyDescent="0.3">
      <c r="E213" s="10">
        <v>209</v>
      </c>
      <c r="F213" s="10" t="s">
        <v>31</v>
      </c>
      <c r="G213" s="10" t="s">
        <v>37</v>
      </c>
      <c r="H213" s="10" t="s">
        <v>11</v>
      </c>
      <c r="I213" s="10">
        <v>1778</v>
      </c>
      <c r="J213" s="10">
        <v>270</v>
      </c>
      <c r="K213" s="11">
        <v>45135</v>
      </c>
      <c r="L213" s="13">
        <f>MONTH(Table1[[#This Row],[Order date ]])</f>
        <v>7</v>
      </c>
      <c r="M213" s="10" t="str">
        <f>TEXT(Table1[[#This Row],[Order date ]],"MMM")</f>
        <v>Jul</v>
      </c>
      <c r="N213" s="10" t="str">
        <f>TEXT(Table1[[#This Row],[Order date ]],"DDD")</f>
        <v>Fri</v>
      </c>
      <c r="O213" s="10" t="str">
        <f>_xlfn.CONCAT("Q",ROUNDUP(Table1[[#This Row],[Month]]/3,0))</f>
        <v>Q3</v>
      </c>
      <c r="P213" s="12">
        <f>Table1[[#This Row],[Amount]]*Table1[[#This Row],[Units]]</f>
        <v>480060</v>
      </c>
      <c r="Q213" s="13" t="str">
        <f>IF(Table1[[#This Row],[Total Sales]]&lt;AVERAGE(Table1[Total Sales]),"Low","High")</f>
        <v>Low</v>
      </c>
    </row>
    <row r="214" spans="5:17" x14ac:dyDescent="0.3">
      <c r="E214" s="10">
        <v>210</v>
      </c>
      <c r="F214" s="10" t="s">
        <v>32</v>
      </c>
      <c r="G214" s="10" t="s">
        <v>43</v>
      </c>
      <c r="H214" s="10" t="s">
        <v>23</v>
      </c>
      <c r="I214" s="10">
        <v>1638</v>
      </c>
      <c r="J214" s="10">
        <v>63</v>
      </c>
      <c r="K214" s="11">
        <v>45136</v>
      </c>
      <c r="L214" s="13">
        <f>MONTH(Table1[[#This Row],[Order date ]])</f>
        <v>7</v>
      </c>
      <c r="M214" s="10" t="str">
        <f>TEXT(Table1[[#This Row],[Order date ]],"MMM")</f>
        <v>Jul</v>
      </c>
      <c r="N214" s="10" t="str">
        <f>TEXT(Table1[[#This Row],[Order date ]],"DDD")</f>
        <v>Sat</v>
      </c>
      <c r="O214" s="10" t="str">
        <f>_xlfn.CONCAT("Q",ROUNDUP(Table1[[#This Row],[Month]]/3,0))</f>
        <v>Q3</v>
      </c>
      <c r="P214" s="12">
        <f>Table1[[#This Row],[Amount]]*Table1[[#This Row],[Units]]</f>
        <v>103194</v>
      </c>
      <c r="Q214" s="13" t="str">
        <f>IF(Table1[[#This Row],[Total Sales]]&lt;AVERAGE(Table1[Total Sales]),"Low","High")</f>
        <v>Low</v>
      </c>
    </row>
    <row r="215" spans="5:17" x14ac:dyDescent="0.3">
      <c r="E215" s="10">
        <v>211</v>
      </c>
      <c r="F215" s="10" t="s">
        <v>30</v>
      </c>
      <c r="G215" s="10" t="s">
        <v>37</v>
      </c>
      <c r="H215" s="10" t="s">
        <v>18</v>
      </c>
      <c r="I215" s="10">
        <v>154</v>
      </c>
      <c r="J215" s="10">
        <v>21</v>
      </c>
      <c r="K215" s="11">
        <v>45137</v>
      </c>
      <c r="L215" s="13">
        <f>MONTH(Table1[[#This Row],[Order date ]])</f>
        <v>7</v>
      </c>
      <c r="M215" s="10" t="str">
        <f>TEXT(Table1[[#This Row],[Order date ]],"MMM")</f>
        <v>Jul</v>
      </c>
      <c r="N215" s="10" t="str">
        <f>TEXT(Table1[[#This Row],[Order date ]],"DDD")</f>
        <v>Sun</v>
      </c>
      <c r="O215" s="10" t="str">
        <f>_xlfn.CONCAT("Q",ROUNDUP(Table1[[#This Row],[Month]]/3,0))</f>
        <v>Q3</v>
      </c>
      <c r="P215" s="12">
        <f>Table1[[#This Row],[Amount]]*Table1[[#This Row],[Units]]</f>
        <v>3234</v>
      </c>
      <c r="Q215" s="13" t="str">
        <f>IF(Table1[[#This Row],[Total Sales]]&lt;AVERAGE(Table1[Total Sales]),"Low","High")</f>
        <v>Low</v>
      </c>
    </row>
    <row r="216" spans="5:17" x14ac:dyDescent="0.3">
      <c r="E216" s="10">
        <v>212</v>
      </c>
      <c r="F216" s="10" t="s">
        <v>31</v>
      </c>
      <c r="G216" s="10" t="s">
        <v>40</v>
      </c>
      <c r="H216" s="10" t="s">
        <v>15</v>
      </c>
      <c r="I216" s="10">
        <v>9835</v>
      </c>
      <c r="J216" s="10">
        <v>207</v>
      </c>
      <c r="K216" s="11">
        <v>45138</v>
      </c>
      <c r="L216" s="13">
        <f>MONTH(Table1[[#This Row],[Order date ]])</f>
        <v>7</v>
      </c>
      <c r="M216" s="10" t="str">
        <f>TEXT(Table1[[#This Row],[Order date ]],"MMM")</f>
        <v>Jul</v>
      </c>
      <c r="N216" s="10" t="str">
        <f>TEXT(Table1[[#This Row],[Order date ]],"DDD")</f>
        <v>Mon</v>
      </c>
      <c r="O216" s="10" t="str">
        <f>_xlfn.CONCAT("Q",ROUNDUP(Table1[[#This Row],[Month]]/3,0))</f>
        <v>Q3</v>
      </c>
      <c r="P216" s="12">
        <f>Table1[[#This Row],[Amount]]*Table1[[#This Row],[Units]]</f>
        <v>2035845</v>
      </c>
      <c r="Q216" s="13" t="str">
        <f>IF(Table1[[#This Row],[Total Sales]]&lt;AVERAGE(Table1[Total Sales]),"Low","High")</f>
        <v>High</v>
      </c>
    </row>
    <row r="217" spans="5:17" x14ac:dyDescent="0.3">
      <c r="E217" s="10">
        <v>213</v>
      </c>
      <c r="F217" s="10" t="s">
        <v>3</v>
      </c>
      <c r="G217" s="10" t="s">
        <v>40</v>
      </c>
      <c r="H217" s="10" t="s">
        <v>13</v>
      </c>
      <c r="I217" s="10">
        <v>7273</v>
      </c>
      <c r="J217" s="10">
        <v>96</v>
      </c>
      <c r="K217" s="11">
        <v>45139</v>
      </c>
      <c r="L217" s="13">
        <f>MONTH(Table1[[#This Row],[Order date ]])</f>
        <v>8</v>
      </c>
      <c r="M217" s="10" t="str">
        <f>TEXT(Table1[[#This Row],[Order date ]],"MMM")</f>
        <v>Aug</v>
      </c>
      <c r="N217" s="10" t="str">
        <f>TEXT(Table1[[#This Row],[Order date ]],"DDD")</f>
        <v>Tue</v>
      </c>
      <c r="O217" s="10" t="str">
        <f>_xlfn.CONCAT("Q",ROUNDUP(Table1[[#This Row],[Month]]/3,0))</f>
        <v>Q3</v>
      </c>
      <c r="P217" s="12">
        <f>Table1[[#This Row],[Amount]]*Table1[[#This Row],[Units]]</f>
        <v>698208</v>
      </c>
      <c r="Q217" s="13" t="str">
        <f>IF(Table1[[#This Row],[Total Sales]]&lt;AVERAGE(Table1[Total Sales]),"Low","High")</f>
        <v>High</v>
      </c>
    </row>
    <row r="218" spans="5:17" x14ac:dyDescent="0.3">
      <c r="E218" s="10">
        <v>214</v>
      </c>
      <c r="F218" s="10" t="s">
        <v>33</v>
      </c>
      <c r="G218" s="10" t="s">
        <v>43</v>
      </c>
      <c r="H218" s="10" t="s">
        <v>15</v>
      </c>
      <c r="I218" s="10">
        <v>6909</v>
      </c>
      <c r="J218" s="10">
        <v>81</v>
      </c>
      <c r="K218" s="11">
        <v>45140</v>
      </c>
      <c r="L218" s="13">
        <f>MONTH(Table1[[#This Row],[Order date ]])</f>
        <v>8</v>
      </c>
      <c r="M218" s="10" t="str">
        <f>TEXT(Table1[[#This Row],[Order date ]],"MMM")</f>
        <v>Aug</v>
      </c>
      <c r="N218" s="10" t="str">
        <f>TEXT(Table1[[#This Row],[Order date ]],"DDD")</f>
        <v>Wed</v>
      </c>
      <c r="O218" s="10" t="str">
        <f>_xlfn.CONCAT("Q",ROUNDUP(Table1[[#This Row],[Month]]/3,0))</f>
        <v>Q3</v>
      </c>
      <c r="P218" s="12">
        <f>Table1[[#This Row],[Amount]]*Table1[[#This Row],[Units]]</f>
        <v>559629</v>
      </c>
      <c r="Q218" s="13" t="str">
        <f>IF(Table1[[#This Row],[Total Sales]]&lt;AVERAGE(Table1[Total Sales]),"Low","High")</f>
        <v>Low</v>
      </c>
    </row>
    <row r="219" spans="5:17" x14ac:dyDescent="0.3">
      <c r="E219" s="10">
        <v>215</v>
      </c>
      <c r="F219" s="10" t="s">
        <v>3</v>
      </c>
      <c r="G219" s="10" t="s">
        <v>43</v>
      </c>
      <c r="H219" s="10" t="s">
        <v>17</v>
      </c>
      <c r="I219" s="10">
        <v>3920</v>
      </c>
      <c r="J219" s="10">
        <v>306</v>
      </c>
      <c r="K219" s="11">
        <v>45141</v>
      </c>
      <c r="L219" s="13">
        <f>MONTH(Table1[[#This Row],[Order date ]])</f>
        <v>8</v>
      </c>
      <c r="M219" s="10" t="str">
        <f>TEXT(Table1[[#This Row],[Order date ]],"MMM")</f>
        <v>Aug</v>
      </c>
      <c r="N219" s="10" t="str">
        <f>TEXT(Table1[[#This Row],[Order date ]],"DDD")</f>
        <v>Thu</v>
      </c>
      <c r="O219" s="10" t="str">
        <f>_xlfn.CONCAT("Q",ROUNDUP(Table1[[#This Row],[Month]]/3,0))</f>
        <v>Q3</v>
      </c>
      <c r="P219" s="12">
        <f>Table1[[#This Row],[Amount]]*Table1[[#This Row],[Units]]</f>
        <v>1199520</v>
      </c>
      <c r="Q219" s="13" t="str">
        <f>IF(Table1[[#This Row],[Total Sales]]&lt;AVERAGE(Table1[Total Sales]),"Low","High")</f>
        <v>High</v>
      </c>
    </row>
    <row r="220" spans="5:17" x14ac:dyDescent="0.3">
      <c r="E220" s="10">
        <v>216</v>
      </c>
      <c r="F220" s="10" t="s">
        <v>35</v>
      </c>
      <c r="G220" s="10" t="s">
        <v>43</v>
      </c>
      <c r="H220" s="10" t="s">
        <v>14</v>
      </c>
      <c r="I220" s="10">
        <v>4858</v>
      </c>
      <c r="J220" s="10">
        <v>279</v>
      </c>
      <c r="K220" s="11">
        <v>45142</v>
      </c>
      <c r="L220" s="13">
        <f>MONTH(Table1[[#This Row],[Order date ]])</f>
        <v>8</v>
      </c>
      <c r="M220" s="10" t="str">
        <f>TEXT(Table1[[#This Row],[Order date ]],"MMM")</f>
        <v>Aug</v>
      </c>
      <c r="N220" s="10" t="str">
        <f>TEXT(Table1[[#This Row],[Order date ]],"DDD")</f>
        <v>Fri</v>
      </c>
      <c r="O220" s="10" t="str">
        <f>_xlfn.CONCAT("Q",ROUNDUP(Table1[[#This Row],[Month]]/3,0))</f>
        <v>Q3</v>
      </c>
      <c r="P220" s="12">
        <f>Table1[[#This Row],[Amount]]*Table1[[#This Row],[Units]]</f>
        <v>1355382</v>
      </c>
      <c r="Q220" s="13" t="str">
        <f>IF(Table1[[#This Row],[Total Sales]]&lt;AVERAGE(Table1[Total Sales]),"Low","High")</f>
        <v>High</v>
      </c>
    </row>
    <row r="221" spans="5:17" x14ac:dyDescent="0.3">
      <c r="E221" s="10">
        <v>217</v>
      </c>
      <c r="F221" s="10" t="s">
        <v>28</v>
      </c>
      <c r="G221" s="10" t="s">
        <v>37</v>
      </c>
      <c r="H221" s="10" t="s">
        <v>2</v>
      </c>
      <c r="I221" s="10">
        <v>3549</v>
      </c>
      <c r="J221" s="10">
        <v>3</v>
      </c>
      <c r="K221" s="11">
        <v>45143</v>
      </c>
      <c r="L221" s="13">
        <f>MONTH(Table1[[#This Row],[Order date ]])</f>
        <v>8</v>
      </c>
      <c r="M221" s="10" t="str">
        <f>TEXT(Table1[[#This Row],[Order date ]],"MMM")</f>
        <v>Aug</v>
      </c>
      <c r="N221" s="10" t="str">
        <f>TEXT(Table1[[#This Row],[Order date ]],"DDD")</f>
        <v>Sat</v>
      </c>
      <c r="O221" s="10" t="str">
        <f>_xlfn.CONCAT("Q",ROUNDUP(Table1[[#This Row],[Month]]/3,0))</f>
        <v>Q3</v>
      </c>
      <c r="P221" s="12">
        <f>Table1[[#This Row],[Amount]]*Table1[[#This Row],[Units]]</f>
        <v>10647</v>
      </c>
      <c r="Q221" s="13" t="str">
        <f>IF(Table1[[#This Row],[Total Sales]]&lt;AVERAGE(Table1[Total Sales]),"Low","High")</f>
        <v>Low</v>
      </c>
    </row>
    <row r="222" spans="5:17" x14ac:dyDescent="0.3">
      <c r="E222" s="10">
        <v>218</v>
      </c>
      <c r="F222" s="10" t="s">
        <v>31</v>
      </c>
      <c r="G222" s="10" t="s">
        <v>43</v>
      </c>
      <c r="H222" s="10" t="s">
        <v>20</v>
      </c>
      <c r="I222" s="10">
        <v>966</v>
      </c>
      <c r="J222" s="10">
        <v>198</v>
      </c>
      <c r="K222" s="11">
        <v>45144</v>
      </c>
      <c r="L222" s="13">
        <f>MONTH(Table1[[#This Row],[Order date ]])</f>
        <v>8</v>
      </c>
      <c r="M222" s="10" t="str">
        <f>TEXT(Table1[[#This Row],[Order date ]],"MMM")</f>
        <v>Aug</v>
      </c>
      <c r="N222" s="10" t="str">
        <f>TEXT(Table1[[#This Row],[Order date ]],"DDD")</f>
        <v>Sun</v>
      </c>
      <c r="O222" s="10" t="str">
        <f>_xlfn.CONCAT("Q",ROUNDUP(Table1[[#This Row],[Month]]/3,0))</f>
        <v>Q3</v>
      </c>
      <c r="P222" s="12">
        <f>Table1[[#This Row],[Amount]]*Table1[[#This Row],[Units]]</f>
        <v>191268</v>
      </c>
      <c r="Q222" s="13" t="str">
        <f>IF(Table1[[#This Row],[Total Sales]]&lt;AVERAGE(Table1[Total Sales]),"Low","High")</f>
        <v>Low</v>
      </c>
    </row>
    <row r="223" spans="5:17" x14ac:dyDescent="0.3">
      <c r="E223" s="10">
        <v>219</v>
      </c>
      <c r="F223" s="10" t="s">
        <v>33</v>
      </c>
      <c r="G223" s="10" t="s">
        <v>43</v>
      </c>
      <c r="H223" s="10" t="s">
        <v>11</v>
      </c>
      <c r="I223" s="10">
        <v>385</v>
      </c>
      <c r="J223" s="10">
        <v>249</v>
      </c>
      <c r="K223" s="11">
        <v>45145</v>
      </c>
      <c r="L223" s="13">
        <f>MONTH(Table1[[#This Row],[Order date ]])</f>
        <v>8</v>
      </c>
      <c r="M223" s="10" t="str">
        <f>TEXT(Table1[[#This Row],[Order date ]],"MMM")</f>
        <v>Aug</v>
      </c>
      <c r="N223" s="10" t="str">
        <f>TEXT(Table1[[#This Row],[Order date ]],"DDD")</f>
        <v>Mon</v>
      </c>
      <c r="O223" s="10" t="str">
        <f>_xlfn.CONCAT("Q",ROUNDUP(Table1[[#This Row],[Month]]/3,0))</f>
        <v>Q3</v>
      </c>
      <c r="P223" s="12">
        <f>Table1[[#This Row],[Amount]]*Table1[[#This Row],[Units]]</f>
        <v>95865</v>
      </c>
      <c r="Q223" s="13" t="str">
        <f>IF(Table1[[#This Row],[Total Sales]]&lt;AVERAGE(Table1[Total Sales]),"Low","High")</f>
        <v>Low</v>
      </c>
    </row>
    <row r="224" spans="5:17" x14ac:dyDescent="0.3">
      <c r="E224" s="10">
        <v>220</v>
      </c>
      <c r="F224" s="10" t="s">
        <v>32</v>
      </c>
      <c r="G224" s="10" t="s">
        <v>39</v>
      </c>
      <c r="H224" s="10" t="s">
        <v>9</v>
      </c>
      <c r="I224" s="10">
        <v>2219</v>
      </c>
      <c r="J224" s="10">
        <v>75</v>
      </c>
      <c r="K224" s="11">
        <v>45146</v>
      </c>
      <c r="L224" s="13">
        <f>MONTH(Table1[[#This Row],[Order date ]])</f>
        <v>8</v>
      </c>
      <c r="M224" s="10" t="str">
        <f>TEXT(Table1[[#This Row],[Order date ]],"MMM")</f>
        <v>Aug</v>
      </c>
      <c r="N224" s="10" t="str">
        <f>TEXT(Table1[[#This Row],[Order date ]],"DDD")</f>
        <v>Tue</v>
      </c>
      <c r="O224" s="10" t="str">
        <f>_xlfn.CONCAT("Q",ROUNDUP(Table1[[#This Row],[Month]]/3,0))</f>
        <v>Q3</v>
      </c>
      <c r="P224" s="12">
        <f>Table1[[#This Row],[Amount]]*Table1[[#This Row],[Units]]</f>
        <v>166425</v>
      </c>
      <c r="Q224" s="13" t="str">
        <f>IF(Table1[[#This Row],[Total Sales]]&lt;AVERAGE(Table1[Total Sales]),"Low","High")</f>
        <v>Low</v>
      </c>
    </row>
    <row r="225" spans="5:17" x14ac:dyDescent="0.3">
      <c r="E225" s="10">
        <v>221</v>
      </c>
      <c r="F225" s="10" t="s">
        <v>3</v>
      </c>
      <c r="G225" s="10" t="s">
        <v>38</v>
      </c>
      <c r="H225" s="10" t="s">
        <v>25</v>
      </c>
      <c r="I225" s="10">
        <v>2954</v>
      </c>
      <c r="J225" s="10">
        <v>189</v>
      </c>
      <c r="K225" s="11">
        <v>45147</v>
      </c>
      <c r="L225" s="13">
        <f>MONTH(Table1[[#This Row],[Order date ]])</f>
        <v>8</v>
      </c>
      <c r="M225" s="10" t="str">
        <f>TEXT(Table1[[#This Row],[Order date ]],"MMM")</f>
        <v>Aug</v>
      </c>
      <c r="N225" s="10" t="str">
        <f>TEXT(Table1[[#This Row],[Order date ]],"DDD")</f>
        <v>Wed</v>
      </c>
      <c r="O225" s="10" t="str">
        <f>_xlfn.CONCAT("Q",ROUNDUP(Table1[[#This Row],[Month]]/3,0))</f>
        <v>Q3</v>
      </c>
      <c r="P225" s="12">
        <f>Table1[[#This Row],[Amount]]*Table1[[#This Row],[Units]]</f>
        <v>558306</v>
      </c>
      <c r="Q225" s="13" t="str">
        <f>IF(Table1[[#This Row],[Total Sales]]&lt;AVERAGE(Table1[Total Sales]),"Low","High")</f>
        <v>Low</v>
      </c>
    </row>
    <row r="226" spans="5:17" x14ac:dyDescent="0.3">
      <c r="E226" s="10">
        <v>222</v>
      </c>
      <c r="F226" s="10" t="s">
        <v>31</v>
      </c>
      <c r="G226" s="10" t="s">
        <v>38</v>
      </c>
      <c r="H226" s="10" t="s">
        <v>25</v>
      </c>
      <c r="I226" s="10">
        <v>280</v>
      </c>
      <c r="J226" s="10">
        <v>87</v>
      </c>
      <c r="K226" s="11">
        <v>45148</v>
      </c>
      <c r="L226" s="13">
        <f>MONTH(Table1[[#This Row],[Order date ]])</f>
        <v>8</v>
      </c>
      <c r="M226" s="10" t="str">
        <f>TEXT(Table1[[#This Row],[Order date ]],"MMM")</f>
        <v>Aug</v>
      </c>
      <c r="N226" s="10" t="str">
        <f>TEXT(Table1[[#This Row],[Order date ]],"DDD")</f>
        <v>Thu</v>
      </c>
      <c r="O226" s="10" t="str">
        <f>_xlfn.CONCAT("Q",ROUNDUP(Table1[[#This Row],[Month]]/3,0))</f>
        <v>Q3</v>
      </c>
      <c r="P226" s="12">
        <f>Table1[[#This Row],[Amount]]*Table1[[#This Row],[Units]]</f>
        <v>24360</v>
      </c>
      <c r="Q226" s="13" t="str">
        <f>IF(Table1[[#This Row],[Total Sales]]&lt;AVERAGE(Table1[Total Sales]),"Low","High")</f>
        <v>Low</v>
      </c>
    </row>
    <row r="227" spans="5:17" x14ac:dyDescent="0.3">
      <c r="E227" s="10">
        <v>223</v>
      </c>
      <c r="F227" s="10" t="s">
        <v>30</v>
      </c>
      <c r="G227" s="10" t="s">
        <v>38</v>
      </c>
      <c r="H227" s="10" t="s">
        <v>23</v>
      </c>
      <c r="I227" s="10">
        <v>6118</v>
      </c>
      <c r="J227" s="10">
        <v>174</v>
      </c>
      <c r="K227" s="11">
        <v>45149</v>
      </c>
      <c r="L227" s="13">
        <f>MONTH(Table1[[#This Row],[Order date ]])</f>
        <v>8</v>
      </c>
      <c r="M227" s="10" t="str">
        <f>TEXT(Table1[[#This Row],[Order date ]],"MMM")</f>
        <v>Aug</v>
      </c>
      <c r="N227" s="10" t="str">
        <f>TEXT(Table1[[#This Row],[Order date ]],"DDD")</f>
        <v>Fri</v>
      </c>
      <c r="O227" s="10" t="str">
        <f>_xlfn.CONCAT("Q",ROUNDUP(Table1[[#This Row],[Month]]/3,0))</f>
        <v>Q3</v>
      </c>
      <c r="P227" s="12">
        <f>Table1[[#This Row],[Amount]]*Table1[[#This Row],[Units]]</f>
        <v>1064532</v>
      </c>
      <c r="Q227" s="13" t="str">
        <f>IF(Table1[[#This Row],[Total Sales]]&lt;AVERAGE(Table1[Total Sales]),"Low","High")</f>
        <v>High</v>
      </c>
    </row>
    <row r="228" spans="5:17" x14ac:dyDescent="0.3">
      <c r="E228" s="10">
        <v>224</v>
      </c>
      <c r="F228" s="10" t="s">
        <v>28</v>
      </c>
      <c r="G228" s="10" t="s">
        <v>43</v>
      </c>
      <c r="H228" s="10" t="s">
        <v>8</v>
      </c>
      <c r="I228" s="10">
        <v>4802</v>
      </c>
      <c r="J228" s="10">
        <v>36</v>
      </c>
      <c r="K228" s="11">
        <v>45150</v>
      </c>
      <c r="L228" s="13">
        <f>MONTH(Table1[[#This Row],[Order date ]])</f>
        <v>8</v>
      </c>
      <c r="M228" s="10" t="str">
        <f>TEXT(Table1[[#This Row],[Order date ]],"MMM")</f>
        <v>Aug</v>
      </c>
      <c r="N228" s="10" t="str">
        <f>TEXT(Table1[[#This Row],[Order date ]],"DDD")</f>
        <v>Sat</v>
      </c>
      <c r="O228" s="10" t="str">
        <f>_xlfn.CONCAT("Q",ROUNDUP(Table1[[#This Row],[Month]]/3,0))</f>
        <v>Q3</v>
      </c>
      <c r="P228" s="12">
        <f>Table1[[#This Row],[Amount]]*Table1[[#This Row],[Units]]</f>
        <v>172872</v>
      </c>
      <c r="Q228" s="13" t="str">
        <f>IF(Table1[[#This Row],[Total Sales]]&lt;AVERAGE(Table1[Total Sales]),"Low","High")</f>
        <v>Low</v>
      </c>
    </row>
    <row r="229" spans="5:17" x14ac:dyDescent="0.3">
      <c r="E229" s="10">
        <v>225</v>
      </c>
      <c r="F229" s="10" t="s">
        <v>3</v>
      </c>
      <c r="G229" s="10" t="s">
        <v>37</v>
      </c>
      <c r="H229" s="10" t="s">
        <v>17</v>
      </c>
      <c r="I229" s="10">
        <v>4137</v>
      </c>
      <c r="J229" s="10">
        <v>60</v>
      </c>
      <c r="K229" s="11">
        <v>45151</v>
      </c>
      <c r="L229" s="13">
        <f>MONTH(Table1[[#This Row],[Order date ]])</f>
        <v>8</v>
      </c>
      <c r="M229" s="10" t="str">
        <f>TEXT(Table1[[#This Row],[Order date ]],"MMM")</f>
        <v>Aug</v>
      </c>
      <c r="N229" s="10" t="str">
        <f>TEXT(Table1[[#This Row],[Order date ]],"DDD")</f>
        <v>Sun</v>
      </c>
      <c r="O229" s="10" t="str">
        <f>_xlfn.CONCAT("Q",ROUNDUP(Table1[[#This Row],[Month]]/3,0))</f>
        <v>Q3</v>
      </c>
      <c r="P229" s="12">
        <f>Table1[[#This Row],[Amount]]*Table1[[#This Row],[Units]]</f>
        <v>248220</v>
      </c>
      <c r="Q229" s="13" t="str">
        <f>IF(Table1[[#This Row],[Total Sales]]&lt;AVERAGE(Table1[Total Sales]),"Low","High")</f>
        <v>Low</v>
      </c>
    </row>
    <row r="230" spans="5:17" x14ac:dyDescent="0.3">
      <c r="E230" s="10">
        <v>226</v>
      </c>
      <c r="F230" s="10" t="s">
        <v>34</v>
      </c>
      <c r="G230" s="10" t="s">
        <v>45</v>
      </c>
      <c r="H230" s="10" t="s">
        <v>16</v>
      </c>
      <c r="I230" s="10">
        <v>2023</v>
      </c>
      <c r="J230" s="10">
        <v>78</v>
      </c>
      <c r="K230" s="11">
        <v>45152</v>
      </c>
      <c r="L230" s="13">
        <f>MONTH(Table1[[#This Row],[Order date ]])</f>
        <v>8</v>
      </c>
      <c r="M230" s="10" t="str">
        <f>TEXT(Table1[[#This Row],[Order date ]],"MMM")</f>
        <v>Aug</v>
      </c>
      <c r="N230" s="10" t="str">
        <f>TEXT(Table1[[#This Row],[Order date ]],"DDD")</f>
        <v>Mon</v>
      </c>
      <c r="O230" s="10" t="str">
        <f>_xlfn.CONCAT("Q",ROUNDUP(Table1[[#This Row],[Month]]/3,0))</f>
        <v>Q3</v>
      </c>
      <c r="P230" s="12">
        <f>Table1[[#This Row],[Amount]]*Table1[[#This Row],[Units]]</f>
        <v>157794</v>
      </c>
      <c r="Q230" s="13" t="str">
        <f>IF(Table1[[#This Row],[Total Sales]]&lt;AVERAGE(Table1[Total Sales]),"Low","High")</f>
        <v>Low</v>
      </c>
    </row>
    <row r="231" spans="5:17" x14ac:dyDescent="0.3">
      <c r="E231" s="10">
        <v>227</v>
      </c>
      <c r="F231" s="10" t="s">
        <v>3</v>
      </c>
      <c r="G231" s="10" t="s">
        <v>38</v>
      </c>
      <c r="H231" s="10" t="s">
        <v>23</v>
      </c>
      <c r="I231" s="10">
        <v>9051</v>
      </c>
      <c r="J231" s="10">
        <v>57</v>
      </c>
      <c r="K231" s="11">
        <v>45153</v>
      </c>
      <c r="L231" s="13">
        <f>MONTH(Table1[[#This Row],[Order date ]])</f>
        <v>8</v>
      </c>
      <c r="M231" s="10" t="str">
        <f>TEXT(Table1[[#This Row],[Order date ]],"MMM")</f>
        <v>Aug</v>
      </c>
      <c r="N231" s="10" t="str">
        <f>TEXT(Table1[[#This Row],[Order date ]],"DDD")</f>
        <v>Tue</v>
      </c>
      <c r="O231" s="10" t="str">
        <f>_xlfn.CONCAT("Q",ROUNDUP(Table1[[#This Row],[Month]]/3,0))</f>
        <v>Q3</v>
      </c>
      <c r="P231" s="12">
        <f>Table1[[#This Row],[Amount]]*Table1[[#This Row],[Units]]</f>
        <v>515907</v>
      </c>
      <c r="Q231" s="13" t="str">
        <f>IF(Table1[[#This Row],[Total Sales]]&lt;AVERAGE(Table1[Total Sales]),"Low","High")</f>
        <v>Low</v>
      </c>
    </row>
    <row r="232" spans="5:17" x14ac:dyDescent="0.3">
      <c r="E232" s="10">
        <v>228</v>
      </c>
      <c r="F232" s="10" t="s">
        <v>3</v>
      </c>
      <c r="G232" s="10" t="s">
        <v>40</v>
      </c>
      <c r="H232" s="10" t="s">
        <v>21</v>
      </c>
      <c r="I232" s="10">
        <v>2919</v>
      </c>
      <c r="J232" s="10">
        <v>45</v>
      </c>
      <c r="K232" s="11">
        <v>45154</v>
      </c>
      <c r="L232" s="13">
        <f>MONTH(Table1[[#This Row],[Order date ]])</f>
        <v>8</v>
      </c>
      <c r="M232" s="10" t="str">
        <f>TEXT(Table1[[#This Row],[Order date ]],"MMM")</f>
        <v>Aug</v>
      </c>
      <c r="N232" s="10" t="str">
        <f>TEXT(Table1[[#This Row],[Order date ]],"DDD")</f>
        <v>Wed</v>
      </c>
      <c r="O232" s="10" t="str">
        <f>_xlfn.CONCAT("Q",ROUNDUP(Table1[[#This Row],[Month]]/3,0))</f>
        <v>Q3</v>
      </c>
      <c r="P232" s="12">
        <f>Table1[[#This Row],[Amount]]*Table1[[#This Row],[Units]]</f>
        <v>131355</v>
      </c>
      <c r="Q232" s="13" t="str">
        <f>IF(Table1[[#This Row],[Total Sales]]&lt;AVERAGE(Table1[Total Sales]),"Low","High")</f>
        <v>Low</v>
      </c>
    </row>
    <row r="233" spans="5:17" x14ac:dyDescent="0.3">
      <c r="E233" s="10">
        <v>229</v>
      </c>
      <c r="F233" s="10" t="s">
        <v>30</v>
      </c>
      <c r="G233" s="10" t="s">
        <v>37</v>
      </c>
      <c r="H233" s="10" t="s">
        <v>15</v>
      </c>
      <c r="I233" s="10">
        <v>5915</v>
      </c>
      <c r="J233" s="10">
        <v>3</v>
      </c>
      <c r="K233" s="11">
        <v>45155</v>
      </c>
      <c r="L233" s="13">
        <f>MONTH(Table1[[#This Row],[Order date ]])</f>
        <v>8</v>
      </c>
      <c r="M233" s="10" t="str">
        <f>TEXT(Table1[[#This Row],[Order date ]],"MMM")</f>
        <v>Aug</v>
      </c>
      <c r="N233" s="10" t="str">
        <f>TEXT(Table1[[#This Row],[Order date ]],"DDD")</f>
        <v>Thu</v>
      </c>
      <c r="O233" s="10" t="str">
        <f>_xlfn.CONCAT("Q",ROUNDUP(Table1[[#This Row],[Month]]/3,0))</f>
        <v>Q3</v>
      </c>
      <c r="P233" s="12">
        <f>Table1[[#This Row],[Amount]]*Table1[[#This Row],[Units]]</f>
        <v>17745</v>
      </c>
      <c r="Q233" s="13" t="str">
        <f>IF(Table1[[#This Row],[Total Sales]]&lt;AVERAGE(Table1[Total Sales]),"Low","High")</f>
        <v>Low</v>
      </c>
    </row>
    <row r="234" spans="5:17" x14ac:dyDescent="0.3">
      <c r="E234" s="10">
        <v>230</v>
      </c>
      <c r="F234" s="10" t="s">
        <v>35</v>
      </c>
      <c r="G234" s="10" t="s">
        <v>45</v>
      </c>
      <c r="H234" s="10" t="s">
        <v>8</v>
      </c>
      <c r="I234" s="10">
        <v>2562</v>
      </c>
      <c r="J234" s="10">
        <v>6</v>
      </c>
      <c r="K234" s="11">
        <v>45156</v>
      </c>
      <c r="L234" s="13">
        <f>MONTH(Table1[[#This Row],[Order date ]])</f>
        <v>8</v>
      </c>
      <c r="M234" s="10" t="str">
        <f>TEXT(Table1[[#This Row],[Order date ]],"MMM")</f>
        <v>Aug</v>
      </c>
      <c r="N234" s="10" t="str">
        <f>TEXT(Table1[[#This Row],[Order date ]],"DDD")</f>
        <v>Fri</v>
      </c>
      <c r="O234" s="10" t="str">
        <f>_xlfn.CONCAT("Q",ROUNDUP(Table1[[#This Row],[Month]]/3,0))</f>
        <v>Q3</v>
      </c>
      <c r="P234" s="12">
        <f>Table1[[#This Row],[Amount]]*Table1[[#This Row],[Units]]</f>
        <v>15372</v>
      </c>
      <c r="Q234" s="13" t="str">
        <f>IF(Table1[[#This Row],[Total Sales]]&lt;AVERAGE(Table1[Total Sales]),"Low","High")</f>
        <v>Low</v>
      </c>
    </row>
    <row r="235" spans="5:17" x14ac:dyDescent="0.3">
      <c r="E235" s="10">
        <v>231</v>
      </c>
      <c r="F235" s="10" t="s">
        <v>33</v>
      </c>
      <c r="G235" s="10" t="s">
        <v>40</v>
      </c>
      <c r="H235" s="10" t="s">
        <v>18</v>
      </c>
      <c r="I235" s="10">
        <v>8813</v>
      </c>
      <c r="J235" s="10">
        <v>21</v>
      </c>
      <c r="K235" s="11">
        <v>45157</v>
      </c>
      <c r="L235" s="13">
        <f>MONTH(Table1[[#This Row],[Order date ]])</f>
        <v>8</v>
      </c>
      <c r="M235" s="10" t="str">
        <f>TEXT(Table1[[#This Row],[Order date ]],"MMM")</f>
        <v>Aug</v>
      </c>
      <c r="N235" s="10" t="str">
        <f>TEXT(Table1[[#This Row],[Order date ]],"DDD")</f>
        <v>Sat</v>
      </c>
      <c r="O235" s="10" t="str">
        <f>_xlfn.CONCAT("Q",ROUNDUP(Table1[[#This Row],[Month]]/3,0))</f>
        <v>Q3</v>
      </c>
      <c r="P235" s="12">
        <f>Table1[[#This Row],[Amount]]*Table1[[#This Row],[Units]]</f>
        <v>185073</v>
      </c>
      <c r="Q235" s="13" t="str">
        <f>IF(Table1[[#This Row],[Total Sales]]&lt;AVERAGE(Table1[Total Sales]),"Low","High")</f>
        <v>Low</v>
      </c>
    </row>
    <row r="236" spans="5:17" x14ac:dyDescent="0.3">
      <c r="E236" s="10">
        <v>232</v>
      </c>
      <c r="F236" s="10" t="s">
        <v>33</v>
      </c>
      <c r="G236" s="10" t="s">
        <v>38</v>
      </c>
      <c r="H236" s="10" t="s">
        <v>11</v>
      </c>
      <c r="I236" s="10">
        <v>6111</v>
      </c>
      <c r="J236" s="10">
        <v>3</v>
      </c>
      <c r="K236" s="11">
        <v>45158</v>
      </c>
      <c r="L236" s="13">
        <f>MONTH(Table1[[#This Row],[Order date ]])</f>
        <v>8</v>
      </c>
      <c r="M236" s="10" t="str">
        <f>TEXT(Table1[[#This Row],[Order date ]],"MMM")</f>
        <v>Aug</v>
      </c>
      <c r="N236" s="10" t="str">
        <f>TEXT(Table1[[#This Row],[Order date ]],"DDD")</f>
        <v>Sun</v>
      </c>
      <c r="O236" s="10" t="str">
        <f>_xlfn.CONCAT("Q",ROUNDUP(Table1[[#This Row],[Month]]/3,0))</f>
        <v>Q3</v>
      </c>
      <c r="P236" s="12">
        <f>Table1[[#This Row],[Amount]]*Table1[[#This Row],[Units]]</f>
        <v>18333</v>
      </c>
      <c r="Q236" s="13" t="str">
        <f>IF(Table1[[#This Row],[Total Sales]]&lt;AVERAGE(Table1[Total Sales]),"Low","High")</f>
        <v>Low</v>
      </c>
    </row>
    <row r="237" spans="5:17" x14ac:dyDescent="0.3">
      <c r="E237" s="10">
        <v>233</v>
      </c>
      <c r="F237" s="10" t="s">
        <v>29</v>
      </c>
      <c r="G237" s="10" t="s">
        <v>39</v>
      </c>
      <c r="H237" s="10" t="s">
        <v>24</v>
      </c>
      <c r="I237" s="10">
        <v>3507</v>
      </c>
      <c r="J237" s="10">
        <v>288</v>
      </c>
      <c r="K237" s="11">
        <v>45159</v>
      </c>
      <c r="L237" s="13">
        <f>MONTH(Table1[[#This Row],[Order date ]])</f>
        <v>8</v>
      </c>
      <c r="M237" s="10" t="str">
        <f>TEXT(Table1[[#This Row],[Order date ]],"MMM")</f>
        <v>Aug</v>
      </c>
      <c r="N237" s="10" t="str">
        <f>TEXT(Table1[[#This Row],[Order date ]],"DDD")</f>
        <v>Mon</v>
      </c>
      <c r="O237" s="10" t="str">
        <f>_xlfn.CONCAT("Q",ROUNDUP(Table1[[#This Row],[Month]]/3,0))</f>
        <v>Q3</v>
      </c>
      <c r="P237" s="12">
        <f>Table1[[#This Row],[Amount]]*Table1[[#This Row],[Units]]</f>
        <v>1010016</v>
      </c>
      <c r="Q237" s="13" t="str">
        <f>IF(Table1[[#This Row],[Total Sales]]&lt;AVERAGE(Table1[Total Sales]),"Low","High")</f>
        <v>High</v>
      </c>
    </row>
    <row r="238" spans="5:17" x14ac:dyDescent="0.3">
      <c r="E238" s="10">
        <v>234</v>
      </c>
      <c r="F238" s="10" t="s">
        <v>32</v>
      </c>
      <c r="G238" s="10" t="s">
        <v>38</v>
      </c>
      <c r="H238" s="10" t="s">
        <v>6</v>
      </c>
      <c r="I238" s="10">
        <v>4319</v>
      </c>
      <c r="J238" s="10">
        <v>30</v>
      </c>
      <c r="K238" s="11">
        <v>45160</v>
      </c>
      <c r="L238" s="13">
        <f>MONTH(Table1[[#This Row],[Order date ]])</f>
        <v>8</v>
      </c>
      <c r="M238" s="10" t="str">
        <f>TEXT(Table1[[#This Row],[Order date ]],"MMM")</f>
        <v>Aug</v>
      </c>
      <c r="N238" s="10" t="str">
        <f>TEXT(Table1[[#This Row],[Order date ]],"DDD")</f>
        <v>Tue</v>
      </c>
      <c r="O238" s="10" t="str">
        <f>_xlfn.CONCAT("Q",ROUNDUP(Table1[[#This Row],[Month]]/3,0))</f>
        <v>Q3</v>
      </c>
      <c r="P238" s="12">
        <f>Table1[[#This Row],[Amount]]*Table1[[#This Row],[Units]]</f>
        <v>129570</v>
      </c>
      <c r="Q238" s="13" t="str">
        <f>IF(Table1[[#This Row],[Total Sales]]&lt;AVERAGE(Table1[Total Sales]),"Low","High")</f>
        <v>Low</v>
      </c>
    </row>
    <row r="239" spans="5:17" x14ac:dyDescent="0.3">
      <c r="E239" s="10">
        <v>235</v>
      </c>
      <c r="F239" s="10" t="s">
        <v>36</v>
      </c>
      <c r="G239" s="10" t="s">
        <v>37</v>
      </c>
      <c r="H239" s="10" t="s">
        <v>19</v>
      </c>
      <c r="I239" s="10">
        <v>609</v>
      </c>
      <c r="J239" s="10">
        <v>87</v>
      </c>
      <c r="K239" s="11">
        <v>45161</v>
      </c>
      <c r="L239" s="13">
        <f>MONTH(Table1[[#This Row],[Order date ]])</f>
        <v>8</v>
      </c>
      <c r="M239" s="10" t="str">
        <f>TEXT(Table1[[#This Row],[Order date ]],"MMM")</f>
        <v>Aug</v>
      </c>
      <c r="N239" s="10" t="str">
        <f>TEXT(Table1[[#This Row],[Order date ]],"DDD")</f>
        <v>Wed</v>
      </c>
      <c r="O239" s="10" t="str">
        <f>_xlfn.CONCAT("Q",ROUNDUP(Table1[[#This Row],[Month]]/3,0))</f>
        <v>Q3</v>
      </c>
      <c r="P239" s="12">
        <f>Table1[[#This Row],[Amount]]*Table1[[#This Row],[Units]]</f>
        <v>52983</v>
      </c>
      <c r="Q239" s="13" t="str">
        <f>IF(Table1[[#This Row],[Total Sales]]&lt;AVERAGE(Table1[Total Sales]),"Low","High")</f>
        <v>Low</v>
      </c>
    </row>
    <row r="240" spans="5:17" x14ac:dyDescent="0.3">
      <c r="E240" s="10">
        <v>236</v>
      </c>
      <c r="F240" s="10" t="s">
        <v>36</v>
      </c>
      <c r="G240" s="10" t="s">
        <v>43</v>
      </c>
      <c r="H240" s="10" t="s">
        <v>20</v>
      </c>
      <c r="I240" s="10">
        <v>6370</v>
      </c>
      <c r="J240" s="10">
        <v>30</v>
      </c>
      <c r="K240" s="11">
        <v>45162</v>
      </c>
      <c r="L240" s="13">
        <f>MONTH(Table1[[#This Row],[Order date ]])</f>
        <v>8</v>
      </c>
      <c r="M240" s="10" t="str">
        <f>TEXT(Table1[[#This Row],[Order date ]],"MMM")</f>
        <v>Aug</v>
      </c>
      <c r="N240" s="10" t="str">
        <f>TEXT(Table1[[#This Row],[Order date ]],"DDD")</f>
        <v>Thu</v>
      </c>
      <c r="O240" s="10" t="str">
        <f>_xlfn.CONCAT("Q",ROUNDUP(Table1[[#This Row],[Month]]/3,0))</f>
        <v>Q3</v>
      </c>
      <c r="P240" s="12">
        <f>Table1[[#This Row],[Amount]]*Table1[[#This Row],[Units]]</f>
        <v>191100</v>
      </c>
      <c r="Q240" s="13" t="str">
        <f>IF(Table1[[#This Row],[Total Sales]]&lt;AVERAGE(Table1[Total Sales]),"Low","High")</f>
        <v>Low</v>
      </c>
    </row>
    <row r="241" spans="5:17" x14ac:dyDescent="0.3">
      <c r="E241" s="10">
        <v>237</v>
      </c>
      <c r="F241" s="10" t="s">
        <v>33</v>
      </c>
      <c r="G241" s="10" t="s">
        <v>37</v>
      </c>
      <c r="H241" s="10" t="s">
        <v>12</v>
      </c>
      <c r="I241" s="10">
        <v>5474</v>
      </c>
      <c r="J241" s="10">
        <v>168</v>
      </c>
      <c r="K241" s="11">
        <v>45163</v>
      </c>
      <c r="L241" s="13">
        <f>MONTH(Table1[[#This Row],[Order date ]])</f>
        <v>8</v>
      </c>
      <c r="M241" s="10" t="str">
        <f>TEXT(Table1[[#This Row],[Order date ]],"MMM")</f>
        <v>Aug</v>
      </c>
      <c r="N241" s="10" t="str">
        <f>TEXT(Table1[[#This Row],[Order date ]],"DDD")</f>
        <v>Fri</v>
      </c>
      <c r="O241" s="10" t="str">
        <f>_xlfn.CONCAT("Q",ROUNDUP(Table1[[#This Row],[Month]]/3,0))</f>
        <v>Q3</v>
      </c>
      <c r="P241" s="12">
        <f>Table1[[#This Row],[Amount]]*Table1[[#This Row],[Units]]</f>
        <v>919632</v>
      </c>
      <c r="Q241" s="13" t="str">
        <f>IF(Table1[[#This Row],[Total Sales]]&lt;AVERAGE(Table1[Total Sales]),"Low","High")</f>
        <v>High</v>
      </c>
    </row>
    <row r="242" spans="5:17" x14ac:dyDescent="0.3">
      <c r="E242" s="10">
        <v>238</v>
      </c>
      <c r="F242" s="10" t="s">
        <v>36</v>
      </c>
      <c r="G242" s="10" t="s">
        <v>38</v>
      </c>
      <c r="H242" s="10" t="s">
        <v>20</v>
      </c>
      <c r="I242" s="10">
        <v>3164</v>
      </c>
      <c r="J242" s="10">
        <v>306</v>
      </c>
      <c r="K242" s="11">
        <v>45164</v>
      </c>
      <c r="L242" s="13">
        <f>MONTH(Table1[[#This Row],[Order date ]])</f>
        <v>8</v>
      </c>
      <c r="M242" s="10" t="str">
        <f>TEXT(Table1[[#This Row],[Order date ]],"MMM")</f>
        <v>Aug</v>
      </c>
      <c r="N242" s="10" t="str">
        <f>TEXT(Table1[[#This Row],[Order date ]],"DDD")</f>
        <v>Sat</v>
      </c>
      <c r="O242" s="10" t="str">
        <f>_xlfn.CONCAT("Q",ROUNDUP(Table1[[#This Row],[Month]]/3,0))</f>
        <v>Q3</v>
      </c>
      <c r="P242" s="12">
        <f>Table1[[#This Row],[Amount]]*Table1[[#This Row],[Units]]</f>
        <v>968184</v>
      </c>
      <c r="Q242" s="13" t="str">
        <f>IF(Table1[[#This Row],[Total Sales]]&lt;AVERAGE(Table1[Total Sales]),"Low","High")</f>
        <v>High</v>
      </c>
    </row>
    <row r="243" spans="5:17" x14ac:dyDescent="0.3">
      <c r="E243" s="10">
        <v>239</v>
      </c>
      <c r="F243" s="10" t="s">
        <v>32</v>
      </c>
      <c r="G243" s="10" t="s">
        <v>45</v>
      </c>
      <c r="H243" s="10" t="s">
        <v>2</v>
      </c>
      <c r="I243" s="10">
        <v>1302</v>
      </c>
      <c r="J243" s="10">
        <v>402</v>
      </c>
      <c r="K243" s="11">
        <v>45165</v>
      </c>
      <c r="L243" s="13">
        <f>MONTH(Table1[[#This Row],[Order date ]])</f>
        <v>8</v>
      </c>
      <c r="M243" s="10" t="str">
        <f>TEXT(Table1[[#This Row],[Order date ]],"MMM")</f>
        <v>Aug</v>
      </c>
      <c r="N243" s="10" t="str">
        <f>TEXT(Table1[[#This Row],[Order date ]],"DDD")</f>
        <v>Sun</v>
      </c>
      <c r="O243" s="10" t="str">
        <f>_xlfn.CONCAT("Q",ROUNDUP(Table1[[#This Row],[Month]]/3,0))</f>
        <v>Q3</v>
      </c>
      <c r="P243" s="12">
        <f>Table1[[#This Row],[Amount]]*Table1[[#This Row],[Units]]</f>
        <v>523404</v>
      </c>
      <c r="Q243" s="13" t="str">
        <f>IF(Table1[[#This Row],[Total Sales]]&lt;AVERAGE(Table1[Total Sales]),"Low","High")</f>
        <v>Low</v>
      </c>
    </row>
    <row r="244" spans="5:17" x14ac:dyDescent="0.3">
      <c r="E244" s="10">
        <v>240</v>
      </c>
      <c r="F244" s="10" t="s">
        <v>34</v>
      </c>
      <c r="G244" s="10" t="s">
        <v>40</v>
      </c>
      <c r="H244" s="10" t="s">
        <v>21</v>
      </c>
      <c r="I244" s="10">
        <v>7308</v>
      </c>
      <c r="J244" s="10">
        <v>327</v>
      </c>
      <c r="K244" s="11">
        <v>45166</v>
      </c>
      <c r="L244" s="13">
        <f>MONTH(Table1[[#This Row],[Order date ]])</f>
        <v>8</v>
      </c>
      <c r="M244" s="10" t="str">
        <f>TEXT(Table1[[#This Row],[Order date ]],"MMM")</f>
        <v>Aug</v>
      </c>
      <c r="N244" s="10" t="str">
        <f>TEXT(Table1[[#This Row],[Order date ]],"DDD")</f>
        <v>Mon</v>
      </c>
      <c r="O244" s="10" t="str">
        <f>_xlfn.CONCAT("Q",ROUNDUP(Table1[[#This Row],[Month]]/3,0))</f>
        <v>Q3</v>
      </c>
      <c r="P244" s="12">
        <f>Table1[[#This Row],[Amount]]*Table1[[#This Row],[Units]]</f>
        <v>2389716</v>
      </c>
      <c r="Q244" s="13" t="str">
        <f>IF(Table1[[#This Row],[Total Sales]]&lt;AVERAGE(Table1[Total Sales]),"Low","High")</f>
        <v>High</v>
      </c>
    </row>
    <row r="245" spans="5:17" x14ac:dyDescent="0.3">
      <c r="E245" s="10">
        <v>241</v>
      </c>
      <c r="F245" s="10" t="s">
        <v>36</v>
      </c>
      <c r="G245" s="10" t="s">
        <v>40</v>
      </c>
      <c r="H245" s="10" t="s">
        <v>20</v>
      </c>
      <c r="I245" s="10">
        <v>6132</v>
      </c>
      <c r="J245" s="10">
        <v>93</v>
      </c>
      <c r="K245" s="11">
        <v>45167</v>
      </c>
      <c r="L245" s="13">
        <f>MONTH(Table1[[#This Row],[Order date ]])</f>
        <v>8</v>
      </c>
      <c r="M245" s="10" t="str">
        <f>TEXT(Table1[[#This Row],[Order date ]],"MMM")</f>
        <v>Aug</v>
      </c>
      <c r="N245" s="10" t="str">
        <f>TEXT(Table1[[#This Row],[Order date ]],"DDD")</f>
        <v>Tue</v>
      </c>
      <c r="O245" s="10" t="str">
        <f>_xlfn.CONCAT("Q",ROUNDUP(Table1[[#This Row],[Month]]/3,0))</f>
        <v>Q3</v>
      </c>
      <c r="P245" s="12">
        <f>Table1[[#This Row],[Amount]]*Table1[[#This Row],[Units]]</f>
        <v>570276</v>
      </c>
      <c r="Q245" s="13" t="str">
        <f>IF(Table1[[#This Row],[Total Sales]]&lt;AVERAGE(Table1[Total Sales]),"Low","High")</f>
        <v>Low</v>
      </c>
    </row>
    <row r="246" spans="5:17" x14ac:dyDescent="0.3">
      <c r="E246" s="10">
        <v>242</v>
      </c>
      <c r="F246" s="10" t="s">
        <v>35</v>
      </c>
      <c r="G246" s="10" t="s">
        <v>45</v>
      </c>
      <c r="H246" s="10" t="s">
        <v>7</v>
      </c>
      <c r="I246" s="10">
        <v>3472</v>
      </c>
      <c r="J246" s="10">
        <v>96</v>
      </c>
      <c r="K246" s="11">
        <v>45168</v>
      </c>
      <c r="L246" s="13">
        <f>MONTH(Table1[[#This Row],[Order date ]])</f>
        <v>8</v>
      </c>
      <c r="M246" s="10" t="str">
        <f>TEXT(Table1[[#This Row],[Order date ]],"MMM")</f>
        <v>Aug</v>
      </c>
      <c r="N246" s="10" t="str">
        <f>TEXT(Table1[[#This Row],[Order date ]],"DDD")</f>
        <v>Wed</v>
      </c>
      <c r="O246" s="10" t="str">
        <f>_xlfn.CONCAT("Q",ROUNDUP(Table1[[#This Row],[Month]]/3,0))</f>
        <v>Q3</v>
      </c>
      <c r="P246" s="12">
        <f>Table1[[#This Row],[Amount]]*Table1[[#This Row],[Units]]</f>
        <v>333312</v>
      </c>
      <c r="Q246" s="13" t="str">
        <f>IF(Table1[[#This Row],[Total Sales]]&lt;AVERAGE(Table1[Total Sales]),"Low","High")</f>
        <v>Low</v>
      </c>
    </row>
    <row r="247" spans="5:17" x14ac:dyDescent="0.3">
      <c r="E247" s="10">
        <v>243</v>
      </c>
      <c r="F247" s="10" t="s">
        <v>29</v>
      </c>
      <c r="G247" s="10" t="s">
        <v>43</v>
      </c>
      <c r="H247" s="10" t="s">
        <v>11</v>
      </c>
      <c r="I247" s="10">
        <v>9660</v>
      </c>
      <c r="J247" s="10">
        <v>27</v>
      </c>
      <c r="K247" s="11">
        <v>45169</v>
      </c>
      <c r="L247" s="13">
        <f>MONTH(Table1[[#This Row],[Order date ]])</f>
        <v>8</v>
      </c>
      <c r="M247" s="10" t="str">
        <f>TEXT(Table1[[#This Row],[Order date ]],"MMM")</f>
        <v>Aug</v>
      </c>
      <c r="N247" s="10" t="str">
        <f>TEXT(Table1[[#This Row],[Order date ]],"DDD")</f>
        <v>Thu</v>
      </c>
      <c r="O247" s="10" t="str">
        <f>_xlfn.CONCAT("Q",ROUNDUP(Table1[[#This Row],[Month]]/3,0))</f>
        <v>Q3</v>
      </c>
      <c r="P247" s="12">
        <f>Table1[[#This Row],[Amount]]*Table1[[#This Row],[Units]]</f>
        <v>260820</v>
      </c>
      <c r="Q247" s="13" t="str">
        <f>IF(Table1[[#This Row],[Total Sales]]&lt;AVERAGE(Table1[Total Sales]),"Low","High")</f>
        <v>Low</v>
      </c>
    </row>
    <row r="248" spans="5:17" x14ac:dyDescent="0.3">
      <c r="E248" s="10">
        <v>244</v>
      </c>
      <c r="F248" s="10" t="s">
        <v>3</v>
      </c>
      <c r="G248" s="10" t="s">
        <v>37</v>
      </c>
      <c r="H248" s="10" t="s">
        <v>19</v>
      </c>
      <c r="I248" s="10">
        <v>2436</v>
      </c>
      <c r="J248" s="10">
        <v>99</v>
      </c>
      <c r="K248" s="11">
        <v>45170</v>
      </c>
      <c r="L248" s="13">
        <f>MONTH(Table1[[#This Row],[Order date ]])</f>
        <v>9</v>
      </c>
      <c r="M248" s="10" t="str">
        <f>TEXT(Table1[[#This Row],[Order date ]],"MMM")</f>
        <v>Sep</v>
      </c>
      <c r="N248" s="10" t="str">
        <f>TEXT(Table1[[#This Row],[Order date ]],"DDD")</f>
        <v>Fri</v>
      </c>
      <c r="O248" s="10" t="str">
        <f>_xlfn.CONCAT("Q",ROUNDUP(Table1[[#This Row],[Month]]/3,0))</f>
        <v>Q3</v>
      </c>
      <c r="P248" s="12">
        <f>Table1[[#This Row],[Amount]]*Table1[[#This Row],[Units]]</f>
        <v>241164</v>
      </c>
      <c r="Q248" s="13" t="str">
        <f>IF(Table1[[#This Row],[Total Sales]]&lt;AVERAGE(Table1[Total Sales]),"Low","High")</f>
        <v>Low</v>
      </c>
    </row>
    <row r="249" spans="5:17" x14ac:dyDescent="0.3">
      <c r="E249" s="10">
        <v>245</v>
      </c>
      <c r="F249" s="10" t="s">
        <v>3</v>
      </c>
      <c r="G249" s="10" t="s">
        <v>37</v>
      </c>
      <c r="H249" s="10" t="s">
        <v>26</v>
      </c>
      <c r="I249" s="10">
        <v>9506</v>
      </c>
      <c r="J249" s="10">
        <v>87</v>
      </c>
      <c r="K249" s="11">
        <v>45171</v>
      </c>
      <c r="L249" s="13">
        <f>MONTH(Table1[[#This Row],[Order date ]])</f>
        <v>9</v>
      </c>
      <c r="M249" s="10" t="str">
        <f>TEXT(Table1[[#This Row],[Order date ]],"MMM")</f>
        <v>Sep</v>
      </c>
      <c r="N249" s="10" t="str">
        <f>TEXT(Table1[[#This Row],[Order date ]],"DDD")</f>
        <v>Sat</v>
      </c>
      <c r="O249" s="10" t="str">
        <f>_xlfn.CONCAT("Q",ROUNDUP(Table1[[#This Row],[Month]]/3,0))</f>
        <v>Q3</v>
      </c>
      <c r="P249" s="12">
        <f>Table1[[#This Row],[Amount]]*Table1[[#This Row],[Units]]</f>
        <v>827022</v>
      </c>
      <c r="Q249" s="13" t="str">
        <f>IF(Table1[[#This Row],[Total Sales]]&lt;AVERAGE(Table1[Total Sales]),"Low","High")</f>
        <v>High</v>
      </c>
    </row>
    <row r="250" spans="5:17" x14ac:dyDescent="0.3">
      <c r="E250" s="10">
        <v>246</v>
      </c>
      <c r="F250" s="10" t="s">
        <v>35</v>
      </c>
      <c r="G250" s="10" t="s">
        <v>40</v>
      </c>
      <c r="H250" s="10" t="s">
        <v>14</v>
      </c>
      <c r="I250" s="10">
        <v>245</v>
      </c>
      <c r="J250" s="10">
        <v>288</v>
      </c>
      <c r="K250" s="11">
        <v>45172</v>
      </c>
      <c r="L250" s="13">
        <f>MONTH(Table1[[#This Row],[Order date ]])</f>
        <v>9</v>
      </c>
      <c r="M250" s="10" t="str">
        <f>TEXT(Table1[[#This Row],[Order date ]],"MMM")</f>
        <v>Sep</v>
      </c>
      <c r="N250" s="10" t="str">
        <f>TEXT(Table1[[#This Row],[Order date ]],"DDD")</f>
        <v>Sun</v>
      </c>
      <c r="O250" s="10" t="str">
        <f>_xlfn.CONCAT("Q",ROUNDUP(Table1[[#This Row],[Month]]/3,0))</f>
        <v>Q3</v>
      </c>
      <c r="P250" s="12">
        <f>Table1[[#This Row],[Amount]]*Table1[[#This Row],[Units]]</f>
        <v>70560</v>
      </c>
      <c r="Q250" s="13" t="str">
        <f>IF(Table1[[#This Row],[Total Sales]]&lt;AVERAGE(Table1[Total Sales]),"Low","High")</f>
        <v>Low</v>
      </c>
    </row>
    <row r="251" spans="5:17" x14ac:dyDescent="0.3">
      <c r="E251" s="10">
        <v>247</v>
      </c>
      <c r="F251" s="10" t="s">
        <v>29</v>
      </c>
      <c r="G251" s="10" t="s">
        <v>45</v>
      </c>
      <c r="H251" s="10" t="s">
        <v>13</v>
      </c>
      <c r="I251" s="10">
        <v>2702</v>
      </c>
      <c r="J251" s="10">
        <v>363</v>
      </c>
      <c r="K251" s="11">
        <v>45173</v>
      </c>
      <c r="L251" s="13">
        <f>MONTH(Table1[[#This Row],[Order date ]])</f>
        <v>9</v>
      </c>
      <c r="M251" s="10" t="str">
        <f>TEXT(Table1[[#This Row],[Order date ]],"MMM")</f>
        <v>Sep</v>
      </c>
      <c r="N251" s="10" t="str">
        <f>TEXT(Table1[[#This Row],[Order date ]],"DDD")</f>
        <v>Mon</v>
      </c>
      <c r="O251" s="10" t="str">
        <f>_xlfn.CONCAT("Q",ROUNDUP(Table1[[#This Row],[Month]]/3,0))</f>
        <v>Q3</v>
      </c>
      <c r="P251" s="12">
        <f>Table1[[#This Row],[Amount]]*Table1[[#This Row],[Units]]</f>
        <v>980826</v>
      </c>
      <c r="Q251" s="13" t="str">
        <f>IF(Table1[[#This Row],[Total Sales]]&lt;AVERAGE(Table1[Total Sales]),"Low","High")</f>
        <v>High</v>
      </c>
    </row>
    <row r="252" spans="5:17" x14ac:dyDescent="0.3">
      <c r="E252" s="10">
        <v>248</v>
      </c>
      <c r="F252" s="10" t="s">
        <v>35</v>
      </c>
      <c r="G252" s="10" t="s">
        <v>39</v>
      </c>
      <c r="H252" s="10" t="s">
        <v>10</v>
      </c>
      <c r="I252" s="10">
        <v>700</v>
      </c>
      <c r="J252" s="10">
        <v>87</v>
      </c>
      <c r="K252" s="11">
        <v>45174</v>
      </c>
      <c r="L252" s="13">
        <f>MONTH(Table1[[#This Row],[Order date ]])</f>
        <v>9</v>
      </c>
      <c r="M252" s="10" t="str">
        <f>TEXT(Table1[[#This Row],[Order date ]],"MMM")</f>
        <v>Sep</v>
      </c>
      <c r="N252" s="10" t="str">
        <f>TEXT(Table1[[#This Row],[Order date ]],"DDD")</f>
        <v>Tue</v>
      </c>
      <c r="O252" s="10" t="str">
        <f>_xlfn.CONCAT("Q",ROUNDUP(Table1[[#This Row],[Month]]/3,0))</f>
        <v>Q3</v>
      </c>
      <c r="P252" s="12">
        <f>Table1[[#This Row],[Amount]]*Table1[[#This Row],[Units]]</f>
        <v>60900</v>
      </c>
      <c r="Q252" s="13" t="str">
        <f>IF(Table1[[#This Row],[Total Sales]]&lt;AVERAGE(Table1[Total Sales]),"Low","High")</f>
        <v>Low</v>
      </c>
    </row>
    <row r="253" spans="5:17" x14ac:dyDescent="0.3">
      <c r="E253" s="10">
        <v>249</v>
      </c>
      <c r="F253" s="10" t="s">
        <v>32</v>
      </c>
      <c r="G253" s="10" t="s">
        <v>39</v>
      </c>
      <c r="H253" s="10" t="s">
        <v>10</v>
      </c>
      <c r="I253" s="10">
        <v>3759</v>
      </c>
      <c r="J253" s="10">
        <v>150</v>
      </c>
      <c r="K253" s="11">
        <v>45175</v>
      </c>
      <c r="L253" s="13">
        <f>MONTH(Table1[[#This Row],[Order date ]])</f>
        <v>9</v>
      </c>
      <c r="M253" s="10" t="str">
        <f>TEXT(Table1[[#This Row],[Order date ]],"MMM")</f>
        <v>Sep</v>
      </c>
      <c r="N253" s="10" t="str">
        <f>TEXT(Table1[[#This Row],[Order date ]],"DDD")</f>
        <v>Wed</v>
      </c>
      <c r="O253" s="10" t="str">
        <f>_xlfn.CONCAT("Q",ROUNDUP(Table1[[#This Row],[Month]]/3,0))</f>
        <v>Q3</v>
      </c>
      <c r="P253" s="12">
        <f>Table1[[#This Row],[Amount]]*Table1[[#This Row],[Units]]</f>
        <v>563850</v>
      </c>
      <c r="Q253" s="13" t="str">
        <f>IF(Table1[[#This Row],[Total Sales]]&lt;AVERAGE(Table1[Total Sales]),"Low","High")</f>
        <v>Low</v>
      </c>
    </row>
    <row r="254" spans="5:17" x14ac:dyDescent="0.3">
      <c r="E254" s="10">
        <v>250</v>
      </c>
      <c r="F254" s="10" t="s">
        <v>28</v>
      </c>
      <c r="G254" s="10" t="s">
        <v>45</v>
      </c>
      <c r="H254" s="10" t="s">
        <v>10</v>
      </c>
      <c r="I254" s="10">
        <v>1589</v>
      </c>
      <c r="J254" s="10">
        <v>303</v>
      </c>
      <c r="K254" s="11">
        <v>45176</v>
      </c>
      <c r="L254" s="13">
        <f>MONTH(Table1[[#This Row],[Order date ]])</f>
        <v>9</v>
      </c>
      <c r="M254" s="10" t="str">
        <f>TEXT(Table1[[#This Row],[Order date ]],"MMM")</f>
        <v>Sep</v>
      </c>
      <c r="N254" s="10" t="str">
        <f>TEXT(Table1[[#This Row],[Order date ]],"DDD")</f>
        <v>Thu</v>
      </c>
      <c r="O254" s="10" t="str">
        <f>_xlfn.CONCAT("Q",ROUNDUP(Table1[[#This Row],[Month]]/3,0))</f>
        <v>Q3</v>
      </c>
      <c r="P254" s="12">
        <f>Table1[[#This Row],[Amount]]*Table1[[#This Row],[Units]]</f>
        <v>481467</v>
      </c>
      <c r="Q254" s="13" t="str">
        <f>IF(Table1[[#This Row],[Total Sales]]&lt;AVERAGE(Table1[Total Sales]),"Low","High")</f>
        <v>Low</v>
      </c>
    </row>
    <row r="255" spans="5:17" x14ac:dyDescent="0.3">
      <c r="E255" s="10">
        <v>251</v>
      </c>
      <c r="F255" s="10" t="s">
        <v>31</v>
      </c>
      <c r="G255" s="10" t="s">
        <v>45</v>
      </c>
      <c r="H255" s="10" t="s">
        <v>21</v>
      </c>
      <c r="I255" s="10">
        <v>5194</v>
      </c>
      <c r="J255" s="10">
        <v>288</v>
      </c>
      <c r="K255" s="11">
        <v>45177</v>
      </c>
      <c r="L255" s="13">
        <f>MONTH(Table1[[#This Row],[Order date ]])</f>
        <v>9</v>
      </c>
      <c r="M255" s="10" t="str">
        <f>TEXT(Table1[[#This Row],[Order date ]],"MMM")</f>
        <v>Sep</v>
      </c>
      <c r="N255" s="10" t="str">
        <f>TEXT(Table1[[#This Row],[Order date ]],"DDD")</f>
        <v>Fri</v>
      </c>
      <c r="O255" s="10" t="str">
        <f>_xlfn.CONCAT("Q",ROUNDUP(Table1[[#This Row],[Month]]/3,0))</f>
        <v>Q3</v>
      </c>
      <c r="P255" s="12">
        <f>Table1[[#This Row],[Amount]]*Table1[[#This Row],[Units]]</f>
        <v>1495872</v>
      </c>
      <c r="Q255" s="13" t="str">
        <f>IF(Table1[[#This Row],[Total Sales]]&lt;AVERAGE(Table1[Total Sales]),"Low","High")</f>
        <v>High</v>
      </c>
    </row>
    <row r="256" spans="5:17" x14ac:dyDescent="0.3">
      <c r="E256" s="10">
        <v>252</v>
      </c>
      <c r="F256" s="10" t="s">
        <v>35</v>
      </c>
      <c r="G256" s="10" t="s">
        <v>38</v>
      </c>
      <c r="H256" s="10" t="s">
        <v>6</v>
      </c>
      <c r="I256" s="10">
        <v>945</v>
      </c>
      <c r="J256" s="10">
        <v>75</v>
      </c>
      <c r="K256" s="11">
        <v>45178</v>
      </c>
      <c r="L256" s="13">
        <f>MONTH(Table1[[#This Row],[Order date ]])</f>
        <v>9</v>
      </c>
      <c r="M256" s="10" t="str">
        <f>TEXT(Table1[[#This Row],[Order date ]],"MMM")</f>
        <v>Sep</v>
      </c>
      <c r="N256" s="10" t="str">
        <f>TEXT(Table1[[#This Row],[Order date ]],"DDD")</f>
        <v>Sat</v>
      </c>
      <c r="O256" s="10" t="str">
        <f>_xlfn.CONCAT("Q",ROUNDUP(Table1[[#This Row],[Month]]/3,0))</f>
        <v>Q3</v>
      </c>
      <c r="P256" s="12">
        <f>Table1[[#This Row],[Amount]]*Table1[[#This Row],[Units]]</f>
        <v>70875</v>
      </c>
      <c r="Q256" s="13" t="str">
        <f>IF(Table1[[#This Row],[Total Sales]]&lt;AVERAGE(Table1[Total Sales]),"Low","High")</f>
        <v>Low</v>
      </c>
    </row>
    <row r="257" spans="5:17" x14ac:dyDescent="0.3">
      <c r="E257" s="10">
        <v>253</v>
      </c>
      <c r="F257" s="10" t="s">
        <v>36</v>
      </c>
      <c r="G257" s="10" t="s">
        <v>37</v>
      </c>
      <c r="H257" s="10" t="s">
        <v>24</v>
      </c>
      <c r="I257" s="10">
        <v>1988</v>
      </c>
      <c r="J257" s="10">
        <v>39</v>
      </c>
      <c r="K257" s="11">
        <v>45179</v>
      </c>
      <c r="L257" s="13">
        <f>MONTH(Table1[[#This Row],[Order date ]])</f>
        <v>9</v>
      </c>
      <c r="M257" s="10" t="str">
        <f>TEXT(Table1[[#This Row],[Order date ]],"MMM")</f>
        <v>Sep</v>
      </c>
      <c r="N257" s="10" t="str">
        <f>TEXT(Table1[[#This Row],[Order date ]],"DDD")</f>
        <v>Sun</v>
      </c>
      <c r="O257" s="10" t="str">
        <f>_xlfn.CONCAT("Q",ROUNDUP(Table1[[#This Row],[Month]]/3,0))</f>
        <v>Q3</v>
      </c>
      <c r="P257" s="12">
        <f>Table1[[#This Row],[Amount]]*Table1[[#This Row],[Units]]</f>
        <v>77532</v>
      </c>
      <c r="Q257" s="13" t="str">
        <f>IF(Table1[[#This Row],[Total Sales]]&lt;AVERAGE(Table1[Total Sales]),"Low","High")</f>
        <v>Low</v>
      </c>
    </row>
    <row r="258" spans="5:17" x14ac:dyDescent="0.3">
      <c r="E258" s="10">
        <v>254</v>
      </c>
      <c r="F258" s="10" t="s">
        <v>32</v>
      </c>
      <c r="G258" s="10" t="s">
        <v>39</v>
      </c>
      <c r="H258" s="10" t="s">
        <v>25</v>
      </c>
      <c r="I258" s="10">
        <v>6734</v>
      </c>
      <c r="J258" s="10">
        <v>123</v>
      </c>
      <c r="K258" s="11">
        <v>45180</v>
      </c>
      <c r="L258" s="13">
        <f>MONTH(Table1[[#This Row],[Order date ]])</f>
        <v>9</v>
      </c>
      <c r="M258" s="10" t="str">
        <f>TEXT(Table1[[#This Row],[Order date ]],"MMM")</f>
        <v>Sep</v>
      </c>
      <c r="N258" s="10" t="str">
        <f>TEXT(Table1[[#This Row],[Order date ]],"DDD")</f>
        <v>Mon</v>
      </c>
      <c r="O258" s="10" t="str">
        <f>_xlfn.CONCAT("Q",ROUNDUP(Table1[[#This Row],[Month]]/3,0))</f>
        <v>Q3</v>
      </c>
      <c r="P258" s="12">
        <f>Table1[[#This Row],[Amount]]*Table1[[#This Row],[Units]]</f>
        <v>828282</v>
      </c>
      <c r="Q258" s="13" t="str">
        <f>IF(Table1[[#This Row],[Total Sales]]&lt;AVERAGE(Table1[Total Sales]),"Low","High")</f>
        <v>High</v>
      </c>
    </row>
    <row r="259" spans="5:17" x14ac:dyDescent="0.3">
      <c r="E259" s="10">
        <v>255</v>
      </c>
      <c r="F259" s="10" t="s">
        <v>36</v>
      </c>
      <c r="G259" s="10" t="s">
        <v>38</v>
      </c>
      <c r="H259" s="10" t="s">
        <v>2</v>
      </c>
      <c r="I259" s="10">
        <v>217</v>
      </c>
      <c r="J259" s="10">
        <v>36</v>
      </c>
      <c r="K259" s="11">
        <v>45181</v>
      </c>
      <c r="L259" s="13">
        <f>MONTH(Table1[[#This Row],[Order date ]])</f>
        <v>9</v>
      </c>
      <c r="M259" s="10" t="str">
        <f>TEXT(Table1[[#This Row],[Order date ]],"MMM")</f>
        <v>Sep</v>
      </c>
      <c r="N259" s="10" t="str">
        <f>TEXT(Table1[[#This Row],[Order date ]],"DDD")</f>
        <v>Tue</v>
      </c>
      <c r="O259" s="10" t="str">
        <f>_xlfn.CONCAT("Q",ROUNDUP(Table1[[#This Row],[Month]]/3,0))</f>
        <v>Q3</v>
      </c>
      <c r="P259" s="12">
        <f>Table1[[#This Row],[Amount]]*Table1[[#This Row],[Units]]</f>
        <v>7812</v>
      </c>
      <c r="Q259" s="13" t="str">
        <f>IF(Table1[[#This Row],[Total Sales]]&lt;AVERAGE(Table1[Total Sales]),"Low","High")</f>
        <v>Low</v>
      </c>
    </row>
    <row r="260" spans="5:17" x14ac:dyDescent="0.3">
      <c r="E260" s="10">
        <v>256</v>
      </c>
      <c r="F260" s="10" t="s">
        <v>33</v>
      </c>
      <c r="G260" s="10" t="s">
        <v>39</v>
      </c>
      <c r="H260" s="10" t="s">
        <v>15</v>
      </c>
      <c r="I260" s="10">
        <v>6279</v>
      </c>
      <c r="J260" s="10">
        <v>237</v>
      </c>
      <c r="K260" s="11">
        <v>45182</v>
      </c>
      <c r="L260" s="13">
        <f>MONTH(Table1[[#This Row],[Order date ]])</f>
        <v>9</v>
      </c>
      <c r="M260" s="10" t="str">
        <f>TEXT(Table1[[#This Row],[Order date ]],"MMM")</f>
        <v>Sep</v>
      </c>
      <c r="N260" s="10" t="str">
        <f>TEXT(Table1[[#This Row],[Order date ]],"DDD")</f>
        <v>Wed</v>
      </c>
      <c r="O260" s="10" t="str">
        <f>_xlfn.CONCAT("Q",ROUNDUP(Table1[[#This Row],[Month]]/3,0))</f>
        <v>Q3</v>
      </c>
      <c r="P260" s="12">
        <f>Table1[[#This Row],[Amount]]*Table1[[#This Row],[Units]]</f>
        <v>1488123</v>
      </c>
      <c r="Q260" s="13" t="str">
        <f>IF(Table1[[#This Row],[Total Sales]]&lt;AVERAGE(Table1[Total Sales]),"Low","High")</f>
        <v>High</v>
      </c>
    </row>
    <row r="261" spans="5:17" x14ac:dyDescent="0.3">
      <c r="E261" s="10">
        <v>257</v>
      </c>
      <c r="F261" s="10" t="s">
        <v>36</v>
      </c>
      <c r="G261" s="10" t="s">
        <v>38</v>
      </c>
      <c r="H261" s="10" t="s">
        <v>6</v>
      </c>
      <c r="I261" s="10">
        <v>4424</v>
      </c>
      <c r="J261" s="10">
        <v>201</v>
      </c>
      <c r="K261" s="11">
        <v>45183</v>
      </c>
      <c r="L261" s="13">
        <f>MONTH(Table1[[#This Row],[Order date ]])</f>
        <v>9</v>
      </c>
      <c r="M261" s="10" t="str">
        <f>TEXT(Table1[[#This Row],[Order date ]],"MMM")</f>
        <v>Sep</v>
      </c>
      <c r="N261" s="10" t="str">
        <f>TEXT(Table1[[#This Row],[Order date ]],"DDD")</f>
        <v>Thu</v>
      </c>
      <c r="O261" s="10" t="str">
        <f>_xlfn.CONCAT("Q",ROUNDUP(Table1[[#This Row],[Month]]/3,0))</f>
        <v>Q3</v>
      </c>
      <c r="P261" s="12">
        <f>Table1[[#This Row],[Amount]]*Table1[[#This Row],[Units]]</f>
        <v>889224</v>
      </c>
      <c r="Q261" s="13" t="str">
        <f>IF(Table1[[#This Row],[Total Sales]]&lt;AVERAGE(Table1[Total Sales]),"Low","High")</f>
        <v>High</v>
      </c>
    </row>
    <row r="262" spans="5:17" x14ac:dyDescent="0.3">
      <c r="E262" s="10">
        <v>258</v>
      </c>
      <c r="F262" s="10" t="s">
        <v>28</v>
      </c>
      <c r="G262" s="10" t="s">
        <v>38</v>
      </c>
      <c r="H262" s="10" t="s">
        <v>10</v>
      </c>
      <c r="I262" s="10">
        <v>189</v>
      </c>
      <c r="J262" s="10">
        <v>48</v>
      </c>
      <c r="K262" s="11">
        <v>45184</v>
      </c>
      <c r="L262" s="13">
        <f>MONTH(Table1[[#This Row],[Order date ]])</f>
        <v>9</v>
      </c>
      <c r="M262" s="10" t="str">
        <f>TEXT(Table1[[#This Row],[Order date ]],"MMM")</f>
        <v>Sep</v>
      </c>
      <c r="N262" s="10" t="str">
        <f>TEXT(Table1[[#This Row],[Order date ]],"DDD")</f>
        <v>Fri</v>
      </c>
      <c r="O262" s="10" t="str">
        <f>_xlfn.CONCAT("Q",ROUNDUP(Table1[[#This Row],[Month]]/3,0))</f>
        <v>Q3</v>
      </c>
      <c r="P262" s="12">
        <f>Table1[[#This Row],[Amount]]*Table1[[#This Row],[Units]]</f>
        <v>9072</v>
      </c>
      <c r="Q262" s="13" t="str">
        <f>IF(Table1[[#This Row],[Total Sales]]&lt;AVERAGE(Table1[Total Sales]),"Low","High")</f>
        <v>Low</v>
      </c>
    </row>
    <row r="263" spans="5:17" x14ac:dyDescent="0.3">
      <c r="E263" s="10">
        <v>259</v>
      </c>
      <c r="F263" s="10" t="s">
        <v>33</v>
      </c>
      <c r="G263" s="10" t="s">
        <v>45</v>
      </c>
      <c r="H263" s="10" t="s">
        <v>15</v>
      </c>
      <c r="I263" s="10">
        <v>490</v>
      </c>
      <c r="J263" s="10">
        <v>84</v>
      </c>
      <c r="K263" s="11">
        <v>45185</v>
      </c>
      <c r="L263" s="13">
        <f>MONTH(Table1[[#This Row],[Order date ]])</f>
        <v>9</v>
      </c>
      <c r="M263" s="10" t="str">
        <f>TEXT(Table1[[#This Row],[Order date ]],"MMM")</f>
        <v>Sep</v>
      </c>
      <c r="N263" s="10" t="str">
        <f>TEXT(Table1[[#This Row],[Order date ]],"DDD")</f>
        <v>Sat</v>
      </c>
      <c r="O263" s="10" t="str">
        <f>_xlfn.CONCAT("Q",ROUNDUP(Table1[[#This Row],[Month]]/3,0))</f>
        <v>Q3</v>
      </c>
      <c r="P263" s="12">
        <f>Table1[[#This Row],[Amount]]*Table1[[#This Row],[Units]]</f>
        <v>41160</v>
      </c>
      <c r="Q263" s="13" t="str">
        <f>IF(Table1[[#This Row],[Total Sales]]&lt;AVERAGE(Table1[Total Sales]),"Low","High")</f>
        <v>Low</v>
      </c>
    </row>
    <row r="264" spans="5:17" x14ac:dyDescent="0.3">
      <c r="E264" s="10">
        <v>260</v>
      </c>
      <c r="F264" s="10" t="s">
        <v>29</v>
      </c>
      <c r="G264" s="10" t="s">
        <v>40</v>
      </c>
      <c r="H264" s="10" t="s">
        <v>14</v>
      </c>
      <c r="I264" s="10">
        <v>434</v>
      </c>
      <c r="J264" s="10">
        <v>87</v>
      </c>
      <c r="K264" s="11">
        <v>45186</v>
      </c>
      <c r="L264" s="13">
        <f>MONTH(Table1[[#This Row],[Order date ]])</f>
        <v>9</v>
      </c>
      <c r="M264" s="10" t="str">
        <f>TEXT(Table1[[#This Row],[Order date ]],"MMM")</f>
        <v>Sep</v>
      </c>
      <c r="N264" s="10" t="str">
        <f>TEXT(Table1[[#This Row],[Order date ]],"DDD")</f>
        <v>Sun</v>
      </c>
      <c r="O264" s="10" t="str">
        <f>_xlfn.CONCAT("Q",ROUNDUP(Table1[[#This Row],[Month]]/3,0))</f>
        <v>Q3</v>
      </c>
      <c r="P264" s="12">
        <f>Table1[[#This Row],[Amount]]*Table1[[#This Row],[Units]]</f>
        <v>37758</v>
      </c>
      <c r="Q264" s="13" t="str">
        <f>IF(Table1[[#This Row],[Total Sales]]&lt;AVERAGE(Table1[Total Sales]),"Low","High")</f>
        <v>Low</v>
      </c>
    </row>
    <row r="265" spans="5:17" x14ac:dyDescent="0.3">
      <c r="E265" s="10">
        <v>261</v>
      </c>
      <c r="F265" s="10" t="s">
        <v>31</v>
      </c>
      <c r="G265" s="10" t="s">
        <v>37</v>
      </c>
      <c r="H265" s="10" t="s">
        <v>23</v>
      </c>
      <c r="I265" s="10">
        <v>10129</v>
      </c>
      <c r="J265" s="10">
        <v>312</v>
      </c>
      <c r="K265" s="11">
        <v>45187</v>
      </c>
      <c r="L265" s="13">
        <f>MONTH(Table1[[#This Row],[Order date ]])</f>
        <v>9</v>
      </c>
      <c r="M265" s="10" t="str">
        <f>TEXT(Table1[[#This Row],[Order date ]],"MMM")</f>
        <v>Sep</v>
      </c>
      <c r="N265" s="10" t="str">
        <f>TEXT(Table1[[#This Row],[Order date ]],"DDD")</f>
        <v>Mon</v>
      </c>
      <c r="O265" s="10" t="str">
        <f>_xlfn.CONCAT("Q",ROUNDUP(Table1[[#This Row],[Month]]/3,0))</f>
        <v>Q3</v>
      </c>
      <c r="P265" s="12">
        <f>Table1[[#This Row],[Amount]]*Table1[[#This Row],[Units]]</f>
        <v>3160248</v>
      </c>
      <c r="Q265" s="13" t="str">
        <f>IF(Table1[[#This Row],[Total Sales]]&lt;AVERAGE(Table1[Total Sales]),"Low","High")</f>
        <v>High</v>
      </c>
    </row>
    <row r="266" spans="5:17" x14ac:dyDescent="0.3">
      <c r="E266" s="10">
        <v>262</v>
      </c>
      <c r="F266" s="10" t="s">
        <v>34</v>
      </c>
      <c r="G266" s="10" t="s">
        <v>43</v>
      </c>
      <c r="H266" s="10" t="s">
        <v>21</v>
      </c>
      <c r="I266" s="10">
        <v>1652</v>
      </c>
      <c r="J266" s="10">
        <v>102</v>
      </c>
      <c r="K266" s="11">
        <v>45188</v>
      </c>
      <c r="L266" s="13">
        <f>MONTH(Table1[[#This Row],[Order date ]])</f>
        <v>9</v>
      </c>
      <c r="M266" s="10" t="str">
        <f>TEXT(Table1[[#This Row],[Order date ]],"MMM")</f>
        <v>Sep</v>
      </c>
      <c r="N266" s="10" t="str">
        <f>TEXT(Table1[[#This Row],[Order date ]],"DDD")</f>
        <v>Tue</v>
      </c>
      <c r="O266" s="10" t="str">
        <f>_xlfn.CONCAT("Q",ROUNDUP(Table1[[#This Row],[Month]]/3,0))</f>
        <v>Q3</v>
      </c>
      <c r="P266" s="12">
        <f>Table1[[#This Row],[Amount]]*Table1[[#This Row],[Units]]</f>
        <v>168504</v>
      </c>
      <c r="Q266" s="13" t="str">
        <f>IF(Table1[[#This Row],[Total Sales]]&lt;AVERAGE(Table1[Total Sales]),"Low","High")</f>
        <v>Low</v>
      </c>
    </row>
    <row r="267" spans="5:17" x14ac:dyDescent="0.3">
      <c r="E267" s="10">
        <v>263</v>
      </c>
      <c r="F267" s="10" t="s">
        <v>29</v>
      </c>
      <c r="G267" s="10" t="s">
        <v>37</v>
      </c>
      <c r="H267" s="10" t="s">
        <v>14</v>
      </c>
      <c r="I267" s="10">
        <v>6433</v>
      </c>
      <c r="J267" s="10">
        <v>78</v>
      </c>
      <c r="K267" s="11">
        <v>45189</v>
      </c>
      <c r="L267" s="13">
        <f>MONTH(Table1[[#This Row],[Order date ]])</f>
        <v>9</v>
      </c>
      <c r="M267" s="10" t="str">
        <f>TEXT(Table1[[#This Row],[Order date ]],"MMM")</f>
        <v>Sep</v>
      </c>
      <c r="N267" s="10" t="str">
        <f>TEXT(Table1[[#This Row],[Order date ]],"DDD")</f>
        <v>Wed</v>
      </c>
      <c r="O267" s="10" t="str">
        <f>_xlfn.CONCAT("Q",ROUNDUP(Table1[[#This Row],[Month]]/3,0))</f>
        <v>Q3</v>
      </c>
      <c r="P267" s="12">
        <f>Table1[[#This Row],[Amount]]*Table1[[#This Row],[Units]]</f>
        <v>501774</v>
      </c>
      <c r="Q267" s="13" t="str">
        <f>IF(Table1[[#This Row],[Total Sales]]&lt;AVERAGE(Table1[Total Sales]),"Low","High")</f>
        <v>Low</v>
      </c>
    </row>
    <row r="268" spans="5:17" x14ac:dyDescent="0.3">
      <c r="E268" s="10">
        <v>264</v>
      </c>
      <c r="F268" s="10" t="s">
        <v>34</v>
      </c>
      <c r="G268" s="10" t="s">
        <v>39</v>
      </c>
      <c r="H268" s="10" t="s">
        <v>16</v>
      </c>
      <c r="I268" s="10">
        <v>2212</v>
      </c>
      <c r="J268" s="10">
        <v>117</v>
      </c>
      <c r="K268" s="11">
        <v>45190</v>
      </c>
      <c r="L268" s="13">
        <f>MONTH(Table1[[#This Row],[Order date ]])</f>
        <v>9</v>
      </c>
      <c r="M268" s="10" t="str">
        <f>TEXT(Table1[[#This Row],[Order date ]],"MMM")</f>
        <v>Sep</v>
      </c>
      <c r="N268" s="10" t="str">
        <f>TEXT(Table1[[#This Row],[Order date ]],"DDD")</f>
        <v>Thu</v>
      </c>
      <c r="O268" s="10" t="str">
        <f>_xlfn.CONCAT("Q",ROUNDUP(Table1[[#This Row],[Month]]/3,0))</f>
        <v>Q3</v>
      </c>
      <c r="P268" s="12">
        <f>Table1[[#This Row],[Amount]]*Table1[[#This Row],[Units]]</f>
        <v>258804</v>
      </c>
      <c r="Q268" s="13" t="str">
        <f>IF(Table1[[#This Row],[Total Sales]]&lt;AVERAGE(Table1[Total Sales]),"Low","High")</f>
        <v>Low</v>
      </c>
    </row>
    <row r="269" spans="5:17" x14ac:dyDescent="0.3">
      <c r="E269" s="10">
        <v>265</v>
      </c>
      <c r="F269" s="10" t="s">
        <v>30</v>
      </c>
      <c r="G269" s="10" t="s">
        <v>45</v>
      </c>
      <c r="H269" s="10" t="s">
        <v>12</v>
      </c>
      <c r="I269" s="10">
        <v>609</v>
      </c>
      <c r="J269" s="10">
        <v>99</v>
      </c>
      <c r="K269" s="11">
        <v>45191</v>
      </c>
      <c r="L269" s="13">
        <f>MONTH(Table1[[#This Row],[Order date ]])</f>
        <v>9</v>
      </c>
      <c r="M269" s="10" t="str">
        <f>TEXT(Table1[[#This Row],[Order date ]],"MMM")</f>
        <v>Sep</v>
      </c>
      <c r="N269" s="10" t="str">
        <f>TEXT(Table1[[#This Row],[Order date ]],"DDD")</f>
        <v>Fri</v>
      </c>
      <c r="O269" s="10" t="str">
        <f>_xlfn.CONCAT("Q",ROUNDUP(Table1[[#This Row],[Month]]/3,0))</f>
        <v>Q3</v>
      </c>
      <c r="P269" s="12">
        <f>Table1[[#This Row],[Amount]]*Table1[[#This Row],[Units]]</f>
        <v>60291</v>
      </c>
      <c r="Q269" s="13" t="str">
        <f>IF(Table1[[#This Row],[Total Sales]]&lt;AVERAGE(Table1[Total Sales]),"Low","High")</f>
        <v>Low</v>
      </c>
    </row>
    <row r="270" spans="5:17" x14ac:dyDescent="0.3">
      <c r="E270" s="10">
        <v>266</v>
      </c>
      <c r="F270" s="10" t="s">
        <v>36</v>
      </c>
      <c r="G270" s="10" t="s">
        <v>45</v>
      </c>
      <c r="H270" s="10" t="s">
        <v>17</v>
      </c>
      <c r="I270" s="10">
        <v>1638</v>
      </c>
      <c r="J270" s="10">
        <v>48</v>
      </c>
      <c r="K270" s="11">
        <v>45192</v>
      </c>
      <c r="L270" s="13">
        <f>MONTH(Table1[[#This Row],[Order date ]])</f>
        <v>9</v>
      </c>
      <c r="M270" s="10" t="str">
        <f>TEXT(Table1[[#This Row],[Order date ]],"MMM")</f>
        <v>Sep</v>
      </c>
      <c r="N270" s="10" t="str">
        <f>TEXT(Table1[[#This Row],[Order date ]],"DDD")</f>
        <v>Sat</v>
      </c>
      <c r="O270" s="10" t="str">
        <f>_xlfn.CONCAT("Q",ROUNDUP(Table1[[#This Row],[Month]]/3,0))</f>
        <v>Q3</v>
      </c>
      <c r="P270" s="12">
        <f>Table1[[#This Row],[Amount]]*Table1[[#This Row],[Units]]</f>
        <v>78624</v>
      </c>
      <c r="Q270" s="13" t="str">
        <f>IF(Table1[[#This Row],[Total Sales]]&lt;AVERAGE(Table1[Total Sales]),"Low","High")</f>
        <v>Low</v>
      </c>
    </row>
    <row r="271" spans="5:17" x14ac:dyDescent="0.3">
      <c r="E271" s="10">
        <v>267</v>
      </c>
      <c r="F271" s="10" t="s">
        <v>31</v>
      </c>
      <c r="G271" s="10" t="s">
        <v>39</v>
      </c>
      <c r="H271" s="10" t="s">
        <v>8</v>
      </c>
      <c r="I271" s="10">
        <v>3829</v>
      </c>
      <c r="J271" s="10">
        <v>24</v>
      </c>
      <c r="K271" s="11">
        <v>45193</v>
      </c>
      <c r="L271" s="13">
        <f>MONTH(Table1[[#This Row],[Order date ]])</f>
        <v>9</v>
      </c>
      <c r="M271" s="10" t="str">
        <f>TEXT(Table1[[#This Row],[Order date ]],"MMM")</f>
        <v>Sep</v>
      </c>
      <c r="N271" s="10" t="str">
        <f>TEXT(Table1[[#This Row],[Order date ]],"DDD")</f>
        <v>Sun</v>
      </c>
      <c r="O271" s="10" t="str">
        <f>_xlfn.CONCAT("Q",ROUNDUP(Table1[[#This Row],[Month]]/3,0))</f>
        <v>Q3</v>
      </c>
      <c r="P271" s="12">
        <f>Table1[[#This Row],[Amount]]*Table1[[#This Row],[Units]]</f>
        <v>91896</v>
      </c>
      <c r="Q271" s="13" t="str">
        <f>IF(Table1[[#This Row],[Total Sales]]&lt;AVERAGE(Table1[Total Sales]),"Low","High")</f>
        <v>Low</v>
      </c>
    </row>
    <row r="272" spans="5:17" x14ac:dyDescent="0.3">
      <c r="E272" s="10">
        <v>268</v>
      </c>
      <c r="F272" s="10" t="s">
        <v>36</v>
      </c>
      <c r="G272" s="10" t="s">
        <v>43</v>
      </c>
      <c r="H272" s="10" t="s">
        <v>8</v>
      </c>
      <c r="I272" s="10">
        <v>5775</v>
      </c>
      <c r="J272" s="10">
        <v>42</v>
      </c>
      <c r="K272" s="11">
        <v>45194</v>
      </c>
      <c r="L272" s="13">
        <f>MONTH(Table1[[#This Row],[Order date ]])</f>
        <v>9</v>
      </c>
      <c r="M272" s="10" t="str">
        <f>TEXT(Table1[[#This Row],[Order date ]],"MMM")</f>
        <v>Sep</v>
      </c>
      <c r="N272" s="10" t="str">
        <f>TEXT(Table1[[#This Row],[Order date ]],"DDD")</f>
        <v>Mon</v>
      </c>
      <c r="O272" s="10" t="str">
        <f>_xlfn.CONCAT("Q",ROUNDUP(Table1[[#This Row],[Month]]/3,0))</f>
        <v>Q3</v>
      </c>
      <c r="P272" s="12">
        <f>Table1[[#This Row],[Amount]]*Table1[[#This Row],[Units]]</f>
        <v>242550</v>
      </c>
      <c r="Q272" s="13" t="str">
        <f>IF(Table1[[#This Row],[Total Sales]]&lt;AVERAGE(Table1[Total Sales]),"Low","High")</f>
        <v>Low</v>
      </c>
    </row>
    <row r="273" spans="5:17" x14ac:dyDescent="0.3">
      <c r="E273" s="10">
        <v>269</v>
      </c>
      <c r="F273" s="10" t="s">
        <v>32</v>
      </c>
      <c r="G273" s="10" t="s">
        <v>45</v>
      </c>
      <c r="H273" s="10" t="s">
        <v>13</v>
      </c>
      <c r="I273" s="10">
        <v>1071</v>
      </c>
      <c r="J273" s="10">
        <v>270</v>
      </c>
      <c r="K273" s="11">
        <v>45195</v>
      </c>
      <c r="L273" s="13">
        <f>MONTH(Table1[[#This Row],[Order date ]])</f>
        <v>9</v>
      </c>
      <c r="M273" s="10" t="str">
        <f>TEXT(Table1[[#This Row],[Order date ]],"MMM")</f>
        <v>Sep</v>
      </c>
      <c r="N273" s="10" t="str">
        <f>TEXT(Table1[[#This Row],[Order date ]],"DDD")</f>
        <v>Tue</v>
      </c>
      <c r="O273" s="10" t="str">
        <f>_xlfn.CONCAT("Q",ROUNDUP(Table1[[#This Row],[Month]]/3,0))</f>
        <v>Q3</v>
      </c>
      <c r="P273" s="12">
        <f>Table1[[#This Row],[Amount]]*Table1[[#This Row],[Units]]</f>
        <v>289170</v>
      </c>
      <c r="Q273" s="13" t="str">
        <f>IF(Table1[[#This Row],[Total Sales]]&lt;AVERAGE(Table1[Total Sales]),"Low","High")</f>
        <v>Low</v>
      </c>
    </row>
    <row r="274" spans="5:17" x14ac:dyDescent="0.3">
      <c r="E274" s="10">
        <v>270</v>
      </c>
      <c r="F274" s="10" t="s">
        <v>29</v>
      </c>
      <c r="G274" s="10" t="s">
        <v>38</v>
      </c>
      <c r="H274" s="10" t="s">
        <v>16</v>
      </c>
      <c r="I274" s="10">
        <v>5019</v>
      </c>
      <c r="J274" s="10">
        <v>150</v>
      </c>
      <c r="K274" s="11">
        <v>45196</v>
      </c>
      <c r="L274" s="13">
        <f>MONTH(Table1[[#This Row],[Order date ]])</f>
        <v>9</v>
      </c>
      <c r="M274" s="10" t="str">
        <f>TEXT(Table1[[#This Row],[Order date ]],"MMM")</f>
        <v>Sep</v>
      </c>
      <c r="N274" s="10" t="str">
        <f>TEXT(Table1[[#This Row],[Order date ]],"DDD")</f>
        <v>Wed</v>
      </c>
      <c r="O274" s="10" t="str">
        <f>_xlfn.CONCAT("Q",ROUNDUP(Table1[[#This Row],[Month]]/3,0))</f>
        <v>Q3</v>
      </c>
      <c r="P274" s="12">
        <f>Table1[[#This Row],[Amount]]*Table1[[#This Row],[Units]]</f>
        <v>752850</v>
      </c>
      <c r="Q274" s="13" t="str">
        <f>IF(Table1[[#This Row],[Total Sales]]&lt;AVERAGE(Table1[Total Sales]),"Low","High")</f>
        <v>High</v>
      </c>
    </row>
    <row r="275" spans="5:17" x14ac:dyDescent="0.3">
      <c r="E275" s="10">
        <v>271</v>
      </c>
      <c r="F275" s="10" t="s">
        <v>28</v>
      </c>
      <c r="G275" s="10" t="s">
        <v>40</v>
      </c>
      <c r="H275" s="10" t="s">
        <v>8</v>
      </c>
      <c r="I275" s="10">
        <v>2863</v>
      </c>
      <c r="J275" s="10">
        <v>42</v>
      </c>
      <c r="K275" s="11">
        <v>45197</v>
      </c>
      <c r="L275" s="13">
        <f>MONTH(Table1[[#This Row],[Order date ]])</f>
        <v>9</v>
      </c>
      <c r="M275" s="10" t="str">
        <f>TEXT(Table1[[#This Row],[Order date ]],"MMM")</f>
        <v>Sep</v>
      </c>
      <c r="N275" s="10" t="str">
        <f>TEXT(Table1[[#This Row],[Order date ]],"DDD")</f>
        <v>Thu</v>
      </c>
      <c r="O275" s="10" t="str">
        <f>_xlfn.CONCAT("Q",ROUNDUP(Table1[[#This Row],[Month]]/3,0))</f>
        <v>Q3</v>
      </c>
      <c r="P275" s="12">
        <f>Table1[[#This Row],[Amount]]*Table1[[#This Row],[Units]]</f>
        <v>120246</v>
      </c>
      <c r="Q275" s="13" t="str">
        <f>IF(Table1[[#This Row],[Total Sales]]&lt;AVERAGE(Table1[Total Sales]),"Low","High")</f>
        <v>Low</v>
      </c>
    </row>
    <row r="276" spans="5:17" x14ac:dyDescent="0.3">
      <c r="E276" s="10">
        <v>272</v>
      </c>
      <c r="F276" s="10" t="s">
        <v>36</v>
      </c>
      <c r="G276" s="10" t="s">
        <v>45</v>
      </c>
      <c r="H276" s="10" t="s">
        <v>22</v>
      </c>
      <c r="I276" s="10">
        <v>1617</v>
      </c>
      <c r="J276" s="10">
        <v>126</v>
      </c>
      <c r="K276" s="11">
        <v>45198</v>
      </c>
      <c r="L276" s="13">
        <f>MONTH(Table1[[#This Row],[Order date ]])</f>
        <v>9</v>
      </c>
      <c r="M276" s="10" t="str">
        <f>TEXT(Table1[[#This Row],[Order date ]],"MMM")</f>
        <v>Sep</v>
      </c>
      <c r="N276" s="10" t="str">
        <f>TEXT(Table1[[#This Row],[Order date ]],"DDD")</f>
        <v>Fri</v>
      </c>
      <c r="O276" s="10" t="str">
        <f>_xlfn.CONCAT("Q",ROUNDUP(Table1[[#This Row],[Month]]/3,0))</f>
        <v>Q3</v>
      </c>
      <c r="P276" s="12">
        <f>Table1[[#This Row],[Amount]]*Table1[[#This Row],[Units]]</f>
        <v>203742</v>
      </c>
      <c r="Q276" s="13" t="str">
        <f>IF(Table1[[#This Row],[Total Sales]]&lt;AVERAGE(Table1[Total Sales]),"Low","High")</f>
        <v>Low</v>
      </c>
    </row>
    <row r="277" spans="5:17" x14ac:dyDescent="0.3">
      <c r="E277" s="10">
        <v>273</v>
      </c>
      <c r="F277" s="10" t="s">
        <v>32</v>
      </c>
      <c r="G277" s="10" t="s">
        <v>40</v>
      </c>
      <c r="H277" s="10" t="s">
        <v>19</v>
      </c>
      <c r="I277" s="10">
        <v>6818</v>
      </c>
      <c r="J277" s="10">
        <v>6</v>
      </c>
      <c r="K277" s="11">
        <v>45199</v>
      </c>
      <c r="L277" s="13">
        <f>MONTH(Table1[[#This Row],[Order date ]])</f>
        <v>9</v>
      </c>
      <c r="M277" s="10" t="str">
        <f>TEXT(Table1[[#This Row],[Order date ]],"MMM")</f>
        <v>Sep</v>
      </c>
      <c r="N277" s="10" t="str">
        <f>TEXT(Table1[[#This Row],[Order date ]],"DDD")</f>
        <v>Sat</v>
      </c>
      <c r="O277" s="10" t="str">
        <f>_xlfn.CONCAT("Q",ROUNDUP(Table1[[#This Row],[Month]]/3,0))</f>
        <v>Q3</v>
      </c>
      <c r="P277" s="12">
        <f>Table1[[#This Row],[Amount]]*Table1[[#This Row],[Units]]</f>
        <v>40908</v>
      </c>
      <c r="Q277" s="13" t="str">
        <f>IF(Table1[[#This Row],[Total Sales]]&lt;AVERAGE(Table1[Total Sales]),"Low","High")</f>
        <v>Low</v>
      </c>
    </row>
    <row r="278" spans="5:17" x14ac:dyDescent="0.3">
      <c r="E278" s="10">
        <v>274</v>
      </c>
      <c r="F278" s="10" t="s">
        <v>34</v>
      </c>
      <c r="G278" s="10" t="s">
        <v>45</v>
      </c>
      <c r="H278" s="10" t="s">
        <v>8</v>
      </c>
      <c r="I278" s="10">
        <v>6657</v>
      </c>
      <c r="J278" s="10">
        <v>276</v>
      </c>
      <c r="K278" s="11">
        <v>45200</v>
      </c>
      <c r="L278" s="13">
        <f>MONTH(Table1[[#This Row],[Order date ]])</f>
        <v>10</v>
      </c>
      <c r="M278" s="10" t="str">
        <f>TEXT(Table1[[#This Row],[Order date ]],"MMM")</f>
        <v>Oct</v>
      </c>
      <c r="N278" s="10" t="str">
        <f>TEXT(Table1[[#This Row],[Order date ]],"DDD")</f>
        <v>Sun</v>
      </c>
      <c r="O278" s="10" t="str">
        <f>_xlfn.CONCAT("Q",ROUNDUP(Table1[[#This Row],[Month]]/3,0))</f>
        <v>Q4</v>
      </c>
      <c r="P278" s="12">
        <f>Table1[[#This Row],[Amount]]*Table1[[#This Row],[Units]]</f>
        <v>1837332</v>
      </c>
      <c r="Q278" s="13" t="str">
        <f>IF(Table1[[#This Row],[Total Sales]]&lt;AVERAGE(Table1[Total Sales]),"Low","High")</f>
        <v>High</v>
      </c>
    </row>
    <row r="279" spans="5:17" x14ac:dyDescent="0.3">
      <c r="E279" s="10">
        <v>275</v>
      </c>
      <c r="F279" s="10" t="s">
        <v>34</v>
      </c>
      <c r="G279" s="10" t="s">
        <v>39</v>
      </c>
      <c r="H279" s="10" t="s">
        <v>10</v>
      </c>
      <c r="I279" s="10">
        <v>2919</v>
      </c>
      <c r="J279" s="10">
        <v>93</v>
      </c>
      <c r="K279" s="11">
        <v>45201</v>
      </c>
      <c r="L279" s="13">
        <f>MONTH(Table1[[#This Row],[Order date ]])</f>
        <v>10</v>
      </c>
      <c r="M279" s="10" t="str">
        <f>TEXT(Table1[[#This Row],[Order date ]],"MMM")</f>
        <v>Oct</v>
      </c>
      <c r="N279" s="10" t="str">
        <f>TEXT(Table1[[#This Row],[Order date ]],"DDD")</f>
        <v>Mon</v>
      </c>
      <c r="O279" s="10" t="str">
        <f>_xlfn.CONCAT("Q",ROUNDUP(Table1[[#This Row],[Month]]/3,0))</f>
        <v>Q4</v>
      </c>
      <c r="P279" s="12">
        <f>Table1[[#This Row],[Amount]]*Table1[[#This Row],[Units]]</f>
        <v>271467</v>
      </c>
      <c r="Q279" s="13" t="str">
        <f>IF(Table1[[#This Row],[Total Sales]]&lt;AVERAGE(Table1[Total Sales]),"Low","High")</f>
        <v>Low</v>
      </c>
    </row>
    <row r="280" spans="5:17" x14ac:dyDescent="0.3">
      <c r="E280" s="10">
        <v>276</v>
      </c>
      <c r="F280" s="10" t="s">
        <v>28</v>
      </c>
      <c r="G280" s="10" t="s">
        <v>38</v>
      </c>
      <c r="H280" s="10" t="s">
        <v>24</v>
      </c>
      <c r="I280" s="10">
        <v>3094</v>
      </c>
      <c r="J280" s="10">
        <v>246</v>
      </c>
      <c r="K280" s="11">
        <v>45202</v>
      </c>
      <c r="L280" s="13">
        <f>MONTH(Table1[[#This Row],[Order date ]])</f>
        <v>10</v>
      </c>
      <c r="M280" s="10" t="str">
        <f>TEXT(Table1[[#This Row],[Order date ]],"MMM")</f>
        <v>Oct</v>
      </c>
      <c r="N280" s="10" t="str">
        <f>TEXT(Table1[[#This Row],[Order date ]],"DDD")</f>
        <v>Tue</v>
      </c>
      <c r="O280" s="10" t="str">
        <f>_xlfn.CONCAT("Q",ROUNDUP(Table1[[#This Row],[Month]]/3,0))</f>
        <v>Q4</v>
      </c>
      <c r="P280" s="12">
        <f>Table1[[#This Row],[Amount]]*Table1[[#This Row],[Units]]</f>
        <v>761124</v>
      </c>
      <c r="Q280" s="13" t="str">
        <f>IF(Table1[[#This Row],[Total Sales]]&lt;AVERAGE(Table1[Total Sales]),"Low","High")</f>
        <v>High</v>
      </c>
    </row>
    <row r="281" spans="5:17" x14ac:dyDescent="0.3">
      <c r="E281" s="10">
        <v>277</v>
      </c>
      <c r="F281" s="10" t="s">
        <v>32</v>
      </c>
      <c r="G281" s="10" t="s">
        <v>43</v>
      </c>
      <c r="H281" s="10" t="s">
        <v>17</v>
      </c>
      <c r="I281" s="10">
        <v>2989</v>
      </c>
      <c r="J281" s="10">
        <v>3</v>
      </c>
      <c r="K281" s="11">
        <v>45203</v>
      </c>
      <c r="L281" s="13">
        <f>MONTH(Table1[[#This Row],[Order date ]])</f>
        <v>10</v>
      </c>
      <c r="M281" s="10" t="str">
        <f>TEXT(Table1[[#This Row],[Order date ]],"MMM")</f>
        <v>Oct</v>
      </c>
      <c r="N281" s="10" t="str">
        <f>TEXT(Table1[[#This Row],[Order date ]],"DDD")</f>
        <v>Wed</v>
      </c>
      <c r="O281" s="10" t="str">
        <f>_xlfn.CONCAT("Q",ROUNDUP(Table1[[#This Row],[Month]]/3,0))</f>
        <v>Q4</v>
      </c>
      <c r="P281" s="12">
        <f>Table1[[#This Row],[Amount]]*Table1[[#This Row],[Units]]</f>
        <v>8967</v>
      </c>
      <c r="Q281" s="13" t="str">
        <f>IF(Table1[[#This Row],[Total Sales]]&lt;AVERAGE(Table1[Total Sales]),"Low","High")</f>
        <v>Low</v>
      </c>
    </row>
    <row r="282" spans="5:17" x14ac:dyDescent="0.3">
      <c r="E282" s="10">
        <v>278</v>
      </c>
      <c r="F282" s="10" t="s">
        <v>29</v>
      </c>
      <c r="G282" s="10" t="s">
        <v>37</v>
      </c>
      <c r="H282" s="10" t="s">
        <v>20</v>
      </c>
      <c r="I282" s="10">
        <v>2268</v>
      </c>
      <c r="J282" s="10">
        <v>63</v>
      </c>
      <c r="K282" s="11">
        <v>45204</v>
      </c>
      <c r="L282" s="13">
        <f>MONTH(Table1[[#This Row],[Order date ]])</f>
        <v>10</v>
      </c>
      <c r="M282" s="10" t="str">
        <f>TEXT(Table1[[#This Row],[Order date ]],"MMM")</f>
        <v>Oct</v>
      </c>
      <c r="N282" s="10" t="str">
        <f>TEXT(Table1[[#This Row],[Order date ]],"DDD")</f>
        <v>Thu</v>
      </c>
      <c r="O282" s="10" t="str">
        <f>_xlfn.CONCAT("Q",ROUNDUP(Table1[[#This Row],[Month]]/3,0))</f>
        <v>Q4</v>
      </c>
      <c r="P282" s="12">
        <f>Table1[[#This Row],[Amount]]*Table1[[#This Row],[Units]]</f>
        <v>142884</v>
      </c>
      <c r="Q282" s="13" t="str">
        <f>IF(Table1[[#This Row],[Total Sales]]&lt;AVERAGE(Table1[Total Sales]),"Low","High")</f>
        <v>Low</v>
      </c>
    </row>
    <row r="283" spans="5:17" x14ac:dyDescent="0.3">
      <c r="E283" s="10">
        <v>279</v>
      </c>
      <c r="F283" s="10" t="s">
        <v>33</v>
      </c>
      <c r="G283" s="10" t="s">
        <v>45</v>
      </c>
      <c r="H283" s="10" t="s">
        <v>24</v>
      </c>
      <c r="I283" s="10">
        <v>4753</v>
      </c>
      <c r="J283" s="10">
        <v>246</v>
      </c>
      <c r="K283" s="11">
        <v>45205</v>
      </c>
      <c r="L283" s="13">
        <f>MONTH(Table1[[#This Row],[Order date ]])</f>
        <v>10</v>
      </c>
      <c r="M283" s="10" t="str">
        <f>TEXT(Table1[[#This Row],[Order date ]],"MMM")</f>
        <v>Oct</v>
      </c>
      <c r="N283" s="10" t="str">
        <f>TEXT(Table1[[#This Row],[Order date ]],"DDD")</f>
        <v>Fri</v>
      </c>
      <c r="O283" s="10" t="str">
        <f>_xlfn.CONCAT("Q",ROUNDUP(Table1[[#This Row],[Month]]/3,0))</f>
        <v>Q4</v>
      </c>
      <c r="P283" s="12">
        <f>Table1[[#This Row],[Amount]]*Table1[[#This Row],[Units]]</f>
        <v>1169238</v>
      </c>
      <c r="Q283" s="13" t="str">
        <f>IF(Table1[[#This Row],[Total Sales]]&lt;AVERAGE(Table1[Total Sales]),"Low","High")</f>
        <v>High</v>
      </c>
    </row>
    <row r="284" spans="5:17" x14ac:dyDescent="0.3">
      <c r="E284" s="10">
        <v>280</v>
      </c>
      <c r="F284" s="10" t="s">
        <v>28</v>
      </c>
      <c r="G284" s="10" t="s">
        <v>39</v>
      </c>
      <c r="H284" s="10" t="s">
        <v>12</v>
      </c>
      <c r="I284" s="10">
        <v>7511</v>
      </c>
      <c r="J284" s="10">
        <v>120</v>
      </c>
      <c r="K284" s="11">
        <v>45206</v>
      </c>
      <c r="L284" s="13">
        <f>MONTH(Table1[[#This Row],[Order date ]])</f>
        <v>10</v>
      </c>
      <c r="M284" s="10" t="str">
        <f>TEXT(Table1[[#This Row],[Order date ]],"MMM")</f>
        <v>Oct</v>
      </c>
      <c r="N284" s="10" t="str">
        <f>TEXT(Table1[[#This Row],[Order date ]],"DDD")</f>
        <v>Sat</v>
      </c>
      <c r="O284" s="10" t="str">
        <f>_xlfn.CONCAT("Q",ROUNDUP(Table1[[#This Row],[Month]]/3,0))</f>
        <v>Q4</v>
      </c>
      <c r="P284" s="12">
        <f>Table1[[#This Row],[Amount]]*Table1[[#This Row],[Units]]</f>
        <v>901320</v>
      </c>
      <c r="Q284" s="13" t="str">
        <f>IF(Table1[[#This Row],[Total Sales]]&lt;AVERAGE(Table1[Total Sales]),"Low","High")</f>
        <v>High</v>
      </c>
    </row>
    <row r="285" spans="5:17" x14ac:dyDescent="0.3">
      <c r="E285" s="10">
        <v>281</v>
      </c>
      <c r="F285" s="10" t="s">
        <v>28</v>
      </c>
      <c r="G285" s="10" t="s">
        <v>37</v>
      </c>
      <c r="H285" s="10" t="s">
        <v>24</v>
      </c>
      <c r="I285" s="10">
        <v>4326</v>
      </c>
      <c r="J285" s="10">
        <v>348</v>
      </c>
      <c r="K285" s="11">
        <v>45207</v>
      </c>
      <c r="L285" s="13">
        <f>MONTH(Table1[[#This Row],[Order date ]])</f>
        <v>10</v>
      </c>
      <c r="M285" s="10" t="str">
        <f>TEXT(Table1[[#This Row],[Order date ]],"MMM")</f>
        <v>Oct</v>
      </c>
      <c r="N285" s="10" t="str">
        <f>TEXT(Table1[[#This Row],[Order date ]],"DDD")</f>
        <v>Sun</v>
      </c>
      <c r="O285" s="10" t="str">
        <f>_xlfn.CONCAT("Q",ROUNDUP(Table1[[#This Row],[Month]]/3,0))</f>
        <v>Q4</v>
      </c>
      <c r="P285" s="12">
        <f>Table1[[#This Row],[Amount]]*Table1[[#This Row],[Units]]</f>
        <v>1505448</v>
      </c>
      <c r="Q285" s="13" t="str">
        <f>IF(Table1[[#This Row],[Total Sales]]&lt;AVERAGE(Table1[Total Sales]),"Low","High")</f>
        <v>High</v>
      </c>
    </row>
    <row r="286" spans="5:17" x14ac:dyDescent="0.3">
      <c r="E286" s="10">
        <v>282</v>
      </c>
      <c r="F286" s="10" t="s">
        <v>30</v>
      </c>
      <c r="G286" s="10" t="s">
        <v>39</v>
      </c>
      <c r="H286" s="10" t="s">
        <v>16</v>
      </c>
      <c r="I286" s="10">
        <v>4935</v>
      </c>
      <c r="J286" s="10">
        <v>126</v>
      </c>
      <c r="K286" s="11">
        <v>45208</v>
      </c>
      <c r="L286" s="13">
        <f>MONTH(Table1[[#This Row],[Order date ]])</f>
        <v>10</v>
      </c>
      <c r="M286" s="10" t="str">
        <f>TEXT(Table1[[#This Row],[Order date ]],"MMM")</f>
        <v>Oct</v>
      </c>
      <c r="N286" s="10" t="str">
        <f>TEXT(Table1[[#This Row],[Order date ]],"DDD")</f>
        <v>Mon</v>
      </c>
      <c r="O286" s="10" t="str">
        <f>_xlfn.CONCAT("Q",ROUNDUP(Table1[[#This Row],[Month]]/3,0))</f>
        <v>Q4</v>
      </c>
      <c r="P286" s="12">
        <f>Table1[[#This Row],[Amount]]*Table1[[#This Row],[Units]]</f>
        <v>621810</v>
      </c>
      <c r="Q286" s="13" t="str">
        <f>IF(Table1[[#This Row],[Total Sales]]&lt;AVERAGE(Table1[Total Sales]),"Low","High")</f>
        <v>Low</v>
      </c>
    </row>
    <row r="287" spans="5:17" x14ac:dyDescent="0.3">
      <c r="E287" s="10">
        <v>283</v>
      </c>
      <c r="F287" s="10" t="s">
        <v>32</v>
      </c>
      <c r="G287" s="10" t="s">
        <v>45</v>
      </c>
      <c r="H287" s="10" t="s">
        <v>23</v>
      </c>
      <c r="I287" s="10">
        <v>4781</v>
      </c>
      <c r="J287" s="10">
        <v>123</v>
      </c>
      <c r="K287" s="11">
        <v>45209</v>
      </c>
      <c r="L287" s="13">
        <f>MONTH(Table1[[#This Row],[Order date ]])</f>
        <v>10</v>
      </c>
      <c r="M287" s="10" t="str">
        <f>TEXT(Table1[[#This Row],[Order date ]],"MMM")</f>
        <v>Oct</v>
      </c>
      <c r="N287" s="10" t="str">
        <f>TEXT(Table1[[#This Row],[Order date ]],"DDD")</f>
        <v>Tue</v>
      </c>
      <c r="O287" s="10" t="str">
        <f>_xlfn.CONCAT("Q",ROUNDUP(Table1[[#This Row],[Month]]/3,0))</f>
        <v>Q4</v>
      </c>
      <c r="P287" s="12">
        <f>Table1[[#This Row],[Amount]]*Table1[[#This Row],[Units]]</f>
        <v>588063</v>
      </c>
      <c r="Q287" s="13" t="str">
        <f>IF(Table1[[#This Row],[Total Sales]]&lt;AVERAGE(Table1[Total Sales]),"Low","High")</f>
        <v>Low</v>
      </c>
    </row>
    <row r="288" spans="5:17" x14ac:dyDescent="0.3">
      <c r="E288" s="10">
        <v>284</v>
      </c>
      <c r="F288" s="10" t="s">
        <v>33</v>
      </c>
      <c r="G288" s="10" t="s">
        <v>37</v>
      </c>
      <c r="H288" s="10" t="s">
        <v>18</v>
      </c>
      <c r="I288" s="10">
        <v>7483</v>
      </c>
      <c r="J288" s="10">
        <v>45</v>
      </c>
      <c r="K288" s="11">
        <v>45210</v>
      </c>
      <c r="L288" s="13">
        <f>MONTH(Table1[[#This Row],[Order date ]])</f>
        <v>10</v>
      </c>
      <c r="M288" s="10" t="str">
        <f>TEXT(Table1[[#This Row],[Order date ]],"MMM")</f>
        <v>Oct</v>
      </c>
      <c r="N288" s="10" t="str">
        <f>TEXT(Table1[[#This Row],[Order date ]],"DDD")</f>
        <v>Wed</v>
      </c>
      <c r="O288" s="10" t="str">
        <f>_xlfn.CONCAT("Q",ROUNDUP(Table1[[#This Row],[Month]]/3,0))</f>
        <v>Q4</v>
      </c>
      <c r="P288" s="12">
        <f>Table1[[#This Row],[Amount]]*Table1[[#This Row],[Units]]</f>
        <v>336735</v>
      </c>
      <c r="Q288" s="13" t="str">
        <f>IF(Table1[[#This Row],[Total Sales]]&lt;AVERAGE(Table1[Total Sales]),"Low","High")</f>
        <v>Low</v>
      </c>
    </row>
    <row r="289" spans="5:17" x14ac:dyDescent="0.3">
      <c r="E289" s="10">
        <v>285</v>
      </c>
      <c r="F289" s="10" t="s">
        <v>35</v>
      </c>
      <c r="G289" s="10" t="s">
        <v>37</v>
      </c>
      <c r="H289" s="10" t="s">
        <v>2</v>
      </c>
      <c r="I289" s="10">
        <v>6860</v>
      </c>
      <c r="J289" s="10">
        <v>126</v>
      </c>
      <c r="K289" s="11">
        <v>45211</v>
      </c>
      <c r="L289" s="13">
        <f>MONTH(Table1[[#This Row],[Order date ]])</f>
        <v>10</v>
      </c>
      <c r="M289" s="10" t="str">
        <f>TEXT(Table1[[#This Row],[Order date ]],"MMM")</f>
        <v>Oct</v>
      </c>
      <c r="N289" s="10" t="str">
        <f>TEXT(Table1[[#This Row],[Order date ]],"DDD")</f>
        <v>Thu</v>
      </c>
      <c r="O289" s="10" t="str">
        <f>_xlfn.CONCAT("Q",ROUNDUP(Table1[[#This Row],[Month]]/3,0))</f>
        <v>Q4</v>
      </c>
      <c r="P289" s="12">
        <f>Table1[[#This Row],[Amount]]*Table1[[#This Row],[Units]]</f>
        <v>864360</v>
      </c>
      <c r="Q289" s="13" t="str">
        <f>IF(Table1[[#This Row],[Total Sales]]&lt;AVERAGE(Table1[Total Sales]),"Low","High")</f>
        <v>High</v>
      </c>
    </row>
    <row r="290" spans="5:17" x14ac:dyDescent="0.3">
      <c r="E290" s="10">
        <v>286</v>
      </c>
      <c r="F290" s="10" t="s">
        <v>36</v>
      </c>
      <c r="G290" s="10" t="s">
        <v>40</v>
      </c>
      <c r="H290" s="10" t="s">
        <v>22</v>
      </c>
      <c r="I290" s="10">
        <v>9002</v>
      </c>
      <c r="J290" s="10">
        <v>72</v>
      </c>
      <c r="K290" s="11">
        <v>45212</v>
      </c>
      <c r="L290" s="13">
        <f>MONTH(Table1[[#This Row],[Order date ]])</f>
        <v>10</v>
      </c>
      <c r="M290" s="10" t="str">
        <f>TEXT(Table1[[#This Row],[Order date ]],"MMM")</f>
        <v>Oct</v>
      </c>
      <c r="N290" s="10" t="str">
        <f>TEXT(Table1[[#This Row],[Order date ]],"DDD")</f>
        <v>Fri</v>
      </c>
      <c r="O290" s="10" t="str">
        <f>_xlfn.CONCAT("Q",ROUNDUP(Table1[[#This Row],[Month]]/3,0))</f>
        <v>Q4</v>
      </c>
      <c r="P290" s="12">
        <f>Table1[[#This Row],[Amount]]*Table1[[#This Row],[Units]]</f>
        <v>648144</v>
      </c>
      <c r="Q290" s="13" t="str">
        <f>IF(Table1[[#This Row],[Total Sales]]&lt;AVERAGE(Table1[Total Sales]),"Low","High")</f>
        <v>High</v>
      </c>
    </row>
    <row r="291" spans="5:17" x14ac:dyDescent="0.3">
      <c r="E291" s="10">
        <v>287</v>
      </c>
      <c r="F291" s="10" t="s">
        <v>32</v>
      </c>
      <c r="G291" s="10" t="s">
        <v>38</v>
      </c>
      <c r="H291" s="10" t="s">
        <v>22</v>
      </c>
      <c r="I291" s="10">
        <v>1400</v>
      </c>
      <c r="J291" s="10">
        <v>135</v>
      </c>
      <c r="K291" s="11">
        <v>45213</v>
      </c>
      <c r="L291" s="13">
        <f>MONTH(Table1[[#This Row],[Order date ]])</f>
        <v>10</v>
      </c>
      <c r="M291" s="10" t="str">
        <f>TEXT(Table1[[#This Row],[Order date ]],"MMM")</f>
        <v>Oct</v>
      </c>
      <c r="N291" s="10" t="str">
        <f>TEXT(Table1[[#This Row],[Order date ]],"DDD")</f>
        <v>Sat</v>
      </c>
      <c r="O291" s="10" t="str">
        <f>_xlfn.CONCAT("Q",ROUNDUP(Table1[[#This Row],[Month]]/3,0))</f>
        <v>Q4</v>
      </c>
      <c r="P291" s="12">
        <f>Table1[[#This Row],[Amount]]*Table1[[#This Row],[Units]]</f>
        <v>189000</v>
      </c>
      <c r="Q291" s="13" t="str">
        <f>IF(Table1[[#This Row],[Total Sales]]&lt;AVERAGE(Table1[Total Sales]),"Low","High")</f>
        <v>Low</v>
      </c>
    </row>
    <row r="292" spans="5:17" x14ac:dyDescent="0.3">
      <c r="E292" s="10">
        <v>288</v>
      </c>
      <c r="F292" s="10" t="s">
        <v>35</v>
      </c>
      <c r="G292" s="10" t="s">
        <v>39</v>
      </c>
      <c r="H292" s="10" t="s">
        <v>15</v>
      </c>
      <c r="I292" s="10">
        <v>4053</v>
      </c>
      <c r="J292" s="10">
        <v>24</v>
      </c>
      <c r="K292" s="11">
        <v>45214</v>
      </c>
      <c r="L292" s="13">
        <f>MONTH(Table1[[#This Row],[Order date ]])</f>
        <v>10</v>
      </c>
      <c r="M292" s="10" t="str">
        <f>TEXT(Table1[[#This Row],[Order date ]],"MMM")</f>
        <v>Oct</v>
      </c>
      <c r="N292" s="10" t="str">
        <f>TEXT(Table1[[#This Row],[Order date ]],"DDD")</f>
        <v>Sun</v>
      </c>
      <c r="O292" s="10" t="str">
        <f>_xlfn.CONCAT("Q",ROUNDUP(Table1[[#This Row],[Month]]/3,0))</f>
        <v>Q4</v>
      </c>
      <c r="P292" s="12">
        <f>Table1[[#This Row],[Amount]]*Table1[[#This Row],[Units]]</f>
        <v>97272</v>
      </c>
      <c r="Q292" s="13" t="str">
        <f>IF(Table1[[#This Row],[Total Sales]]&lt;AVERAGE(Table1[Total Sales]),"Low","High")</f>
        <v>Low</v>
      </c>
    </row>
    <row r="293" spans="5:17" x14ac:dyDescent="0.3">
      <c r="E293" s="10">
        <v>289</v>
      </c>
      <c r="F293" s="10" t="s">
        <v>31</v>
      </c>
      <c r="G293" s="10" t="s">
        <v>38</v>
      </c>
      <c r="H293" s="10" t="s">
        <v>24</v>
      </c>
      <c r="I293" s="10">
        <v>2149</v>
      </c>
      <c r="J293" s="10">
        <v>117</v>
      </c>
      <c r="K293" s="11">
        <v>45215</v>
      </c>
      <c r="L293" s="13">
        <f>MONTH(Table1[[#This Row],[Order date ]])</f>
        <v>10</v>
      </c>
      <c r="M293" s="10" t="str">
        <f>TEXT(Table1[[#This Row],[Order date ]],"MMM")</f>
        <v>Oct</v>
      </c>
      <c r="N293" s="10" t="str">
        <f>TEXT(Table1[[#This Row],[Order date ]],"DDD")</f>
        <v>Mon</v>
      </c>
      <c r="O293" s="10" t="str">
        <f>_xlfn.CONCAT("Q",ROUNDUP(Table1[[#This Row],[Month]]/3,0))</f>
        <v>Q4</v>
      </c>
      <c r="P293" s="12">
        <f>Table1[[#This Row],[Amount]]*Table1[[#This Row],[Units]]</f>
        <v>251433</v>
      </c>
      <c r="Q293" s="13" t="str">
        <f>IF(Table1[[#This Row],[Total Sales]]&lt;AVERAGE(Table1[Total Sales]),"Low","High")</f>
        <v>Low</v>
      </c>
    </row>
    <row r="294" spans="5:17" x14ac:dyDescent="0.3">
      <c r="E294" s="10">
        <v>290</v>
      </c>
      <c r="F294" s="10" t="s">
        <v>34</v>
      </c>
      <c r="G294" s="10" t="s">
        <v>43</v>
      </c>
      <c r="H294" s="10" t="s">
        <v>22</v>
      </c>
      <c r="I294" s="10">
        <v>3640</v>
      </c>
      <c r="J294" s="10">
        <v>51</v>
      </c>
      <c r="K294" s="11">
        <v>45216</v>
      </c>
      <c r="L294" s="13">
        <f>MONTH(Table1[[#This Row],[Order date ]])</f>
        <v>10</v>
      </c>
      <c r="M294" s="10" t="str">
        <f>TEXT(Table1[[#This Row],[Order date ]],"MMM")</f>
        <v>Oct</v>
      </c>
      <c r="N294" s="10" t="str">
        <f>TEXT(Table1[[#This Row],[Order date ]],"DDD")</f>
        <v>Tue</v>
      </c>
      <c r="O294" s="10" t="str">
        <f>_xlfn.CONCAT("Q",ROUNDUP(Table1[[#This Row],[Month]]/3,0))</f>
        <v>Q4</v>
      </c>
      <c r="P294" s="12">
        <f>Table1[[#This Row],[Amount]]*Table1[[#This Row],[Units]]</f>
        <v>185640</v>
      </c>
      <c r="Q294" s="13" t="str">
        <f>IF(Table1[[#This Row],[Total Sales]]&lt;AVERAGE(Table1[Total Sales]),"Low","High")</f>
        <v>Low</v>
      </c>
    </row>
    <row r="295" spans="5:17" x14ac:dyDescent="0.3">
      <c r="E295" s="10">
        <v>291</v>
      </c>
      <c r="F295" s="10" t="s">
        <v>28</v>
      </c>
      <c r="G295" s="10" t="s">
        <v>43</v>
      </c>
      <c r="H295" s="10" t="s">
        <v>16</v>
      </c>
      <c r="I295" s="10">
        <v>630</v>
      </c>
      <c r="J295" s="10">
        <v>36</v>
      </c>
      <c r="K295" s="11">
        <v>45217</v>
      </c>
      <c r="L295" s="13">
        <f>MONTH(Table1[[#This Row],[Order date ]])</f>
        <v>10</v>
      </c>
      <c r="M295" s="10" t="str">
        <f>TEXT(Table1[[#This Row],[Order date ]],"MMM")</f>
        <v>Oct</v>
      </c>
      <c r="N295" s="10" t="str">
        <f>TEXT(Table1[[#This Row],[Order date ]],"DDD")</f>
        <v>Wed</v>
      </c>
      <c r="O295" s="10" t="str">
        <f>_xlfn.CONCAT("Q",ROUNDUP(Table1[[#This Row],[Month]]/3,0))</f>
        <v>Q4</v>
      </c>
      <c r="P295" s="12">
        <f>Table1[[#This Row],[Amount]]*Table1[[#This Row],[Units]]</f>
        <v>22680</v>
      </c>
      <c r="Q295" s="13" t="str">
        <f>IF(Table1[[#This Row],[Total Sales]]&lt;AVERAGE(Table1[Total Sales]),"Low","High")</f>
        <v>Low</v>
      </c>
    </row>
    <row r="296" spans="5:17" x14ac:dyDescent="0.3">
      <c r="E296" s="10">
        <v>292</v>
      </c>
      <c r="F296" s="10" t="s">
        <v>3</v>
      </c>
      <c r="G296" s="10" t="s">
        <v>45</v>
      </c>
      <c r="H296" s="10" t="s">
        <v>20</v>
      </c>
      <c r="I296" s="10">
        <v>2429</v>
      </c>
      <c r="J296" s="10">
        <v>144</v>
      </c>
      <c r="K296" s="11">
        <v>45218</v>
      </c>
      <c r="L296" s="13">
        <f>MONTH(Table1[[#This Row],[Order date ]])</f>
        <v>10</v>
      </c>
      <c r="M296" s="10" t="str">
        <f>TEXT(Table1[[#This Row],[Order date ]],"MMM")</f>
        <v>Oct</v>
      </c>
      <c r="N296" s="10" t="str">
        <f>TEXT(Table1[[#This Row],[Order date ]],"DDD")</f>
        <v>Thu</v>
      </c>
      <c r="O296" s="10" t="str">
        <f>_xlfn.CONCAT("Q",ROUNDUP(Table1[[#This Row],[Month]]/3,0))</f>
        <v>Q4</v>
      </c>
      <c r="P296" s="12">
        <f>Table1[[#This Row],[Amount]]*Table1[[#This Row],[Units]]</f>
        <v>349776</v>
      </c>
      <c r="Q296" s="13" t="str">
        <f>IF(Table1[[#This Row],[Total Sales]]&lt;AVERAGE(Table1[Total Sales]),"Low","High")</f>
        <v>Low</v>
      </c>
    </row>
    <row r="297" spans="5:17" x14ac:dyDescent="0.3">
      <c r="E297" s="10">
        <v>293</v>
      </c>
      <c r="F297" s="10" t="s">
        <v>3</v>
      </c>
      <c r="G297" s="10" t="s">
        <v>38</v>
      </c>
      <c r="H297" s="10" t="s">
        <v>18</v>
      </c>
      <c r="I297" s="10">
        <v>2142</v>
      </c>
      <c r="J297" s="10">
        <v>114</v>
      </c>
      <c r="K297" s="11">
        <v>45219</v>
      </c>
      <c r="L297" s="13">
        <f>MONTH(Table1[[#This Row],[Order date ]])</f>
        <v>10</v>
      </c>
      <c r="M297" s="10" t="str">
        <f>TEXT(Table1[[#This Row],[Order date ]],"MMM")</f>
        <v>Oct</v>
      </c>
      <c r="N297" s="10" t="str">
        <f>TEXT(Table1[[#This Row],[Order date ]],"DDD")</f>
        <v>Fri</v>
      </c>
      <c r="O297" s="10" t="str">
        <f>_xlfn.CONCAT("Q",ROUNDUP(Table1[[#This Row],[Month]]/3,0))</f>
        <v>Q4</v>
      </c>
      <c r="P297" s="12">
        <f>Table1[[#This Row],[Amount]]*Table1[[#This Row],[Units]]</f>
        <v>244188</v>
      </c>
      <c r="Q297" s="13" t="str">
        <f>IF(Table1[[#This Row],[Total Sales]]&lt;AVERAGE(Table1[Total Sales]),"Low","High")</f>
        <v>Low</v>
      </c>
    </row>
    <row r="298" spans="5:17" x14ac:dyDescent="0.3">
      <c r="E298" s="10">
        <v>294</v>
      </c>
      <c r="F298" s="10" t="s">
        <v>31</v>
      </c>
      <c r="G298" s="10" t="s">
        <v>40</v>
      </c>
      <c r="H298" s="10" t="s">
        <v>23</v>
      </c>
      <c r="I298" s="10">
        <v>6454</v>
      </c>
      <c r="J298" s="10">
        <v>54</v>
      </c>
      <c r="K298" s="11">
        <v>45220</v>
      </c>
      <c r="L298" s="13">
        <f>MONTH(Table1[[#This Row],[Order date ]])</f>
        <v>10</v>
      </c>
      <c r="M298" s="10" t="str">
        <f>TEXT(Table1[[#This Row],[Order date ]],"MMM")</f>
        <v>Oct</v>
      </c>
      <c r="N298" s="10" t="str">
        <f>TEXT(Table1[[#This Row],[Order date ]],"DDD")</f>
        <v>Sat</v>
      </c>
      <c r="O298" s="10" t="str">
        <f>_xlfn.CONCAT("Q",ROUNDUP(Table1[[#This Row],[Month]]/3,0))</f>
        <v>Q4</v>
      </c>
      <c r="P298" s="12">
        <f>Table1[[#This Row],[Amount]]*Table1[[#This Row],[Units]]</f>
        <v>348516</v>
      </c>
      <c r="Q298" s="13" t="str">
        <f>IF(Table1[[#This Row],[Total Sales]]&lt;AVERAGE(Table1[Total Sales]),"Low","High")</f>
        <v>Low</v>
      </c>
    </row>
    <row r="299" spans="5:17" x14ac:dyDescent="0.3">
      <c r="E299" s="10">
        <v>295</v>
      </c>
      <c r="F299" s="10" t="s">
        <v>31</v>
      </c>
      <c r="G299" s="10" t="s">
        <v>40</v>
      </c>
      <c r="H299" s="10" t="s">
        <v>9</v>
      </c>
      <c r="I299" s="10">
        <v>4487</v>
      </c>
      <c r="J299" s="10">
        <v>333</v>
      </c>
      <c r="K299" s="11">
        <v>45221</v>
      </c>
      <c r="L299" s="13">
        <f>MONTH(Table1[[#This Row],[Order date ]])</f>
        <v>10</v>
      </c>
      <c r="M299" s="10" t="str">
        <f>TEXT(Table1[[#This Row],[Order date ]],"MMM")</f>
        <v>Oct</v>
      </c>
      <c r="N299" s="10" t="str">
        <f>TEXT(Table1[[#This Row],[Order date ]],"DDD")</f>
        <v>Sun</v>
      </c>
      <c r="O299" s="10" t="str">
        <f>_xlfn.CONCAT("Q",ROUNDUP(Table1[[#This Row],[Month]]/3,0))</f>
        <v>Q4</v>
      </c>
      <c r="P299" s="12">
        <f>Table1[[#This Row],[Amount]]*Table1[[#This Row],[Units]]</f>
        <v>1494171</v>
      </c>
      <c r="Q299" s="13" t="str">
        <f>IF(Table1[[#This Row],[Total Sales]]&lt;AVERAGE(Table1[Total Sales]),"Low","High")</f>
        <v>High</v>
      </c>
    </row>
    <row r="300" spans="5:17" x14ac:dyDescent="0.3">
      <c r="E300" s="10">
        <v>296</v>
      </c>
      <c r="F300" s="10" t="s">
        <v>34</v>
      </c>
      <c r="G300" s="10" t="s">
        <v>40</v>
      </c>
      <c r="H300" s="10" t="s">
        <v>2</v>
      </c>
      <c r="I300" s="10">
        <v>938</v>
      </c>
      <c r="J300" s="10">
        <v>366</v>
      </c>
      <c r="K300" s="11">
        <v>45222</v>
      </c>
      <c r="L300" s="13">
        <f>MONTH(Table1[[#This Row],[Order date ]])</f>
        <v>10</v>
      </c>
      <c r="M300" s="10" t="str">
        <f>TEXT(Table1[[#This Row],[Order date ]],"MMM")</f>
        <v>Oct</v>
      </c>
      <c r="N300" s="10" t="str">
        <f>TEXT(Table1[[#This Row],[Order date ]],"DDD")</f>
        <v>Mon</v>
      </c>
      <c r="O300" s="10" t="str">
        <f>_xlfn.CONCAT("Q",ROUNDUP(Table1[[#This Row],[Month]]/3,0))</f>
        <v>Q4</v>
      </c>
      <c r="P300" s="12">
        <f>Table1[[#This Row],[Amount]]*Table1[[#This Row],[Units]]</f>
        <v>343308</v>
      </c>
      <c r="Q300" s="13" t="str">
        <f>IF(Table1[[#This Row],[Total Sales]]&lt;AVERAGE(Table1[Total Sales]),"Low","High")</f>
        <v>Low</v>
      </c>
    </row>
    <row r="301" spans="5:17" x14ac:dyDescent="0.3">
      <c r="E301" s="10">
        <v>297</v>
      </c>
      <c r="F301" s="10" t="s">
        <v>34</v>
      </c>
      <c r="G301" s="10" t="s">
        <v>37</v>
      </c>
      <c r="H301" s="10" t="s">
        <v>19</v>
      </c>
      <c r="I301" s="10">
        <v>8841</v>
      </c>
      <c r="J301" s="10">
        <v>303</v>
      </c>
      <c r="K301" s="11">
        <v>45223</v>
      </c>
      <c r="L301" s="13">
        <f>MONTH(Table1[[#This Row],[Order date ]])</f>
        <v>10</v>
      </c>
      <c r="M301" s="10" t="str">
        <f>TEXT(Table1[[#This Row],[Order date ]],"MMM")</f>
        <v>Oct</v>
      </c>
      <c r="N301" s="10" t="str">
        <f>TEXT(Table1[[#This Row],[Order date ]],"DDD")</f>
        <v>Tue</v>
      </c>
      <c r="O301" s="10" t="str">
        <f>_xlfn.CONCAT("Q",ROUNDUP(Table1[[#This Row],[Month]]/3,0))</f>
        <v>Q4</v>
      </c>
      <c r="P301" s="12">
        <f>Table1[[#This Row],[Amount]]*Table1[[#This Row],[Units]]</f>
        <v>2678823</v>
      </c>
      <c r="Q301" s="13" t="str">
        <f>IF(Table1[[#This Row],[Total Sales]]&lt;AVERAGE(Table1[Total Sales]),"Low","High")</f>
        <v>High</v>
      </c>
    </row>
    <row r="302" spans="5:17" x14ac:dyDescent="0.3">
      <c r="E302" s="10">
        <v>298</v>
      </c>
      <c r="F302" s="10" t="s">
        <v>28</v>
      </c>
      <c r="G302" s="10" t="s">
        <v>43</v>
      </c>
      <c r="H302" s="10" t="s">
        <v>26</v>
      </c>
      <c r="I302" s="10">
        <v>4018</v>
      </c>
      <c r="J302" s="10">
        <v>126</v>
      </c>
      <c r="K302" s="11">
        <v>45224</v>
      </c>
      <c r="L302" s="13">
        <f>MONTH(Table1[[#This Row],[Order date ]])</f>
        <v>10</v>
      </c>
      <c r="M302" s="10" t="str">
        <f>TEXT(Table1[[#This Row],[Order date ]],"MMM")</f>
        <v>Oct</v>
      </c>
      <c r="N302" s="10" t="str">
        <f>TEXT(Table1[[#This Row],[Order date ]],"DDD")</f>
        <v>Wed</v>
      </c>
      <c r="O302" s="10" t="str">
        <f>_xlfn.CONCAT("Q",ROUNDUP(Table1[[#This Row],[Month]]/3,0))</f>
        <v>Q4</v>
      </c>
      <c r="P302" s="12">
        <f>Table1[[#This Row],[Amount]]*Table1[[#This Row],[Units]]</f>
        <v>506268</v>
      </c>
      <c r="Q302" s="13" t="str">
        <f>IF(Table1[[#This Row],[Total Sales]]&lt;AVERAGE(Table1[Total Sales]),"Low","High")</f>
        <v>Low</v>
      </c>
    </row>
    <row r="303" spans="5:17" x14ac:dyDescent="0.3">
      <c r="E303" s="10">
        <v>299</v>
      </c>
      <c r="F303" s="10" t="s">
        <v>30</v>
      </c>
      <c r="G303" s="10" t="s">
        <v>40</v>
      </c>
      <c r="H303" s="10" t="s">
        <v>8</v>
      </c>
      <c r="I303" s="10">
        <v>714</v>
      </c>
      <c r="J303" s="10">
        <v>231</v>
      </c>
      <c r="K303" s="11">
        <v>45225</v>
      </c>
      <c r="L303" s="13">
        <f>MONTH(Table1[[#This Row],[Order date ]])</f>
        <v>10</v>
      </c>
      <c r="M303" s="10" t="str">
        <f>TEXT(Table1[[#This Row],[Order date ]],"MMM")</f>
        <v>Oct</v>
      </c>
      <c r="N303" s="10" t="str">
        <f>TEXT(Table1[[#This Row],[Order date ]],"DDD")</f>
        <v>Thu</v>
      </c>
      <c r="O303" s="10" t="str">
        <f>_xlfn.CONCAT("Q",ROUNDUP(Table1[[#This Row],[Month]]/3,0))</f>
        <v>Q4</v>
      </c>
      <c r="P303" s="12">
        <f>Table1[[#This Row],[Amount]]*Table1[[#This Row],[Units]]</f>
        <v>164934</v>
      </c>
      <c r="Q303" s="13" t="str">
        <f>IF(Table1[[#This Row],[Total Sales]]&lt;AVERAGE(Table1[Total Sales]),"Low","High")</f>
        <v>Low</v>
      </c>
    </row>
    <row r="304" spans="5:17" x14ac:dyDescent="0.3">
      <c r="E304" s="10">
        <v>300</v>
      </c>
      <c r="F304" s="10" t="s">
        <v>3</v>
      </c>
      <c r="G304" s="10" t="s">
        <v>37</v>
      </c>
      <c r="H304" s="10" t="s">
        <v>18</v>
      </c>
      <c r="I304" s="10">
        <v>3850</v>
      </c>
      <c r="J304" s="10">
        <v>102</v>
      </c>
      <c r="K304" s="11">
        <v>45226</v>
      </c>
      <c r="L304" s="13">
        <f>MONTH(Table1[[#This Row],[Order date ]])</f>
        <v>10</v>
      </c>
      <c r="M304" s="10" t="str">
        <f>TEXT(Table1[[#This Row],[Order date ]],"MMM")</f>
        <v>Oct</v>
      </c>
      <c r="N304" s="10" t="str">
        <f>TEXT(Table1[[#This Row],[Order date ]],"DDD")</f>
        <v>Fri</v>
      </c>
      <c r="O304" s="10" t="str">
        <f>_xlfn.CONCAT("Q",ROUNDUP(Table1[[#This Row],[Month]]/3,0))</f>
        <v>Q4</v>
      </c>
      <c r="P304" s="12">
        <f>Table1[[#This Row],[Amount]]*Table1[[#This Row],[Units]]</f>
        <v>392700</v>
      </c>
      <c r="Q304" s="13" t="str">
        <f>IF(Table1[[#This Row],[Total Sales]]&lt;AVERAGE(Table1[Total Sales]),"Low","High")</f>
        <v>Low</v>
      </c>
    </row>
    <row r="305" spans="5:17" x14ac:dyDescent="0.3">
      <c r="E305" s="10">
        <v>301</v>
      </c>
      <c r="F305" s="10" t="s">
        <v>28</v>
      </c>
      <c r="G305" s="10" t="s">
        <v>37</v>
      </c>
      <c r="H305" s="10" t="s">
        <v>24</v>
      </c>
      <c r="I305" s="10">
        <v>4326</v>
      </c>
      <c r="J305" s="10">
        <v>348</v>
      </c>
      <c r="K305" s="11">
        <v>45227</v>
      </c>
      <c r="L305" s="13">
        <f>MONTH(Table1[[#This Row],[Order date ]])</f>
        <v>10</v>
      </c>
      <c r="M305" s="10" t="str">
        <f>TEXT(Table1[[#This Row],[Order date ]],"MMM")</f>
        <v>Oct</v>
      </c>
      <c r="N305" s="10" t="str">
        <f>TEXT(Table1[[#This Row],[Order date ]],"DDD")</f>
        <v>Sat</v>
      </c>
      <c r="O305" s="10" t="str">
        <f>_xlfn.CONCAT("Q",ROUNDUP(Table1[[#This Row],[Month]]/3,0))</f>
        <v>Q4</v>
      </c>
      <c r="P305" s="12">
        <f>Table1[[#This Row],[Amount]]*Table1[[#This Row],[Units]]</f>
        <v>1505448</v>
      </c>
      <c r="Q305" s="13" t="str">
        <f>IF(Table1[[#This Row],[Total Sales]]&lt;AVERAGE(Table1[Total Sales]),"Low","High")</f>
        <v>High</v>
      </c>
    </row>
    <row r="306" spans="5:17" x14ac:dyDescent="0.3">
      <c r="E306" s="10">
        <v>302</v>
      </c>
      <c r="F306" s="10" t="s">
        <v>30</v>
      </c>
      <c r="G306" s="10" t="s">
        <v>39</v>
      </c>
      <c r="H306" s="10" t="s">
        <v>16</v>
      </c>
      <c r="I306" s="10">
        <v>4935</v>
      </c>
      <c r="J306" s="10">
        <v>126</v>
      </c>
      <c r="K306" s="11">
        <v>45228</v>
      </c>
      <c r="L306" s="13">
        <f>MONTH(Table1[[#This Row],[Order date ]])</f>
        <v>10</v>
      </c>
      <c r="M306" s="10" t="str">
        <f>TEXT(Table1[[#This Row],[Order date ]],"MMM")</f>
        <v>Oct</v>
      </c>
      <c r="N306" s="10" t="str">
        <f>TEXT(Table1[[#This Row],[Order date ]],"DDD")</f>
        <v>Sun</v>
      </c>
      <c r="O306" s="10" t="str">
        <f>_xlfn.CONCAT("Q",ROUNDUP(Table1[[#This Row],[Month]]/3,0))</f>
        <v>Q4</v>
      </c>
      <c r="P306" s="12">
        <f>Table1[[#This Row],[Amount]]*Table1[[#This Row],[Units]]</f>
        <v>621810</v>
      </c>
      <c r="Q306" s="13" t="str">
        <f>IF(Table1[[#This Row],[Total Sales]]&lt;AVERAGE(Table1[Total Sales]),"Low","High")</f>
        <v>Low</v>
      </c>
    </row>
    <row r="307" spans="5:17" x14ac:dyDescent="0.3">
      <c r="E307" s="10">
        <v>303</v>
      </c>
      <c r="F307" s="10" t="s">
        <v>32</v>
      </c>
      <c r="G307" s="10" t="s">
        <v>45</v>
      </c>
      <c r="H307" s="10" t="s">
        <v>23</v>
      </c>
      <c r="I307" s="10">
        <v>4781</v>
      </c>
      <c r="J307" s="10">
        <v>123</v>
      </c>
      <c r="K307" s="11">
        <v>45229</v>
      </c>
      <c r="L307" s="13">
        <f>MONTH(Table1[[#This Row],[Order date ]])</f>
        <v>10</v>
      </c>
      <c r="M307" s="10" t="str">
        <f>TEXT(Table1[[#This Row],[Order date ]],"MMM")</f>
        <v>Oct</v>
      </c>
      <c r="N307" s="10" t="str">
        <f>TEXT(Table1[[#This Row],[Order date ]],"DDD")</f>
        <v>Mon</v>
      </c>
      <c r="O307" s="10" t="str">
        <f>_xlfn.CONCAT("Q",ROUNDUP(Table1[[#This Row],[Month]]/3,0))</f>
        <v>Q4</v>
      </c>
      <c r="P307" s="12">
        <f>Table1[[#This Row],[Amount]]*Table1[[#This Row],[Units]]</f>
        <v>588063</v>
      </c>
      <c r="Q307" s="13" t="str">
        <f>IF(Table1[[#This Row],[Total Sales]]&lt;AVERAGE(Table1[Total Sales]),"Low","High")</f>
        <v>Low</v>
      </c>
    </row>
    <row r="308" spans="5:17" x14ac:dyDescent="0.3">
      <c r="E308" s="10">
        <v>304</v>
      </c>
      <c r="F308" s="10" t="s">
        <v>33</v>
      </c>
      <c r="G308" s="10" t="s">
        <v>37</v>
      </c>
      <c r="H308" s="10" t="s">
        <v>18</v>
      </c>
      <c r="I308" s="10">
        <v>7483</v>
      </c>
      <c r="J308" s="10">
        <v>45</v>
      </c>
      <c r="K308" s="11">
        <v>45230</v>
      </c>
      <c r="L308" s="13">
        <f>MONTH(Table1[[#This Row],[Order date ]])</f>
        <v>10</v>
      </c>
      <c r="M308" s="10" t="str">
        <f>TEXT(Table1[[#This Row],[Order date ]],"MMM")</f>
        <v>Oct</v>
      </c>
      <c r="N308" s="10" t="str">
        <f>TEXT(Table1[[#This Row],[Order date ]],"DDD")</f>
        <v>Tue</v>
      </c>
      <c r="O308" s="10" t="str">
        <f>_xlfn.CONCAT("Q",ROUNDUP(Table1[[#This Row],[Month]]/3,0))</f>
        <v>Q4</v>
      </c>
      <c r="P308" s="12">
        <f>Table1[[#This Row],[Amount]]*Table1[[#This Row],[Units]]</f>
        <v>336735</v>
      </c>
      <c r="Q308" s="13" t="str">
        <f>IF(Table1[[#This Row],[Total Sales]]&lt;AVERAGE(Table1[Total Sales]),"Low","High")</f>
        <v>Low</v>
      </c>
    </row>
    <row r="309" spans="5:17" x14ac:dyDescent="0.3">
      <c r="E309" s="10">
        <v>305</v>
      </c>
      <c r="F309" s="10" t="s">
        <v>35</v>
      </c>
      <c r="G309" s="10" t="s">
        <v>37</v>
      </c>
      <c r="H309" s="10" t="s">
        <v>2</v>
      </c>
      <c r="I309" s="10">
        <v>6860</v>
      </c>
      <c r="J309" s="10">
        <v>126</v>
      </c>
      <c r="K309" s="11">
        <v>45231</v>
      </c>
      <c r="L309" s="13">
        <f>MONTH(Table1[[#This Row],[Order date ]])</f>
        <v>11</v>
      </c>
      <c r="M309" s="10" t="str">
        <f>TEXT(Table1[[#This Row],[Order date ]],"MMM")</f>
        <v>Nov</v>
      </c>
      <c r="N309" s="10" t="str">
        <f>TEXT(Table1[[#This Row],[Order date ]],"DDD")</f>
        <v>Wed</v>
      </c>
      <c r="O309" s="10" t="str">
        <f>_xlfn.CONCAT("Q",ROUNDUP(Table1[[#This Row],[Month]]/3,0))</f>
        <v>Q4</v>
      </c>
      <c r="P309" s="12">
        <f>Table1[[#This Row],[Amount]]*Table1[[#This Row],[Units]]</f>
        <v>864360</v>
      </c>
      <c r="Q309" s="13" t="str">
        <f>IF(Table1[[#This Row],[Total Sales]]&lt;AVERAGE(Table1[Total Sales]),"Low","High")</f>
        <v>High</v>
      </c>
    </row>
    <row r="310" spans="5:17" x14ac:dyDescent="0.3">
      <c r="E310" s="10">
        <v>306</v>
      </c>
      <c r="F310" s="10" t="s">
        <v>28</v>
      </c>
      <c r="G310" s="10" t="s">
        <v>37</v>
      </c>
      <c r="H310" s="10" t="s">
        <v>24</v>
      </c>
      <c r="I310" s="10">
        <v>4326</v>
      </c>
      <c r="J310" s="10">
        <v>348</v>
      </c>
      <c r="K310" s="11">
        <v>45232</v>
      </c>
      <c r="L310" s="13">
        <f>MONTH(Table1[[#This Row],[Order date ]])</f>
        <v>11</v>
      </c>
      <c r="M310" s="10" t="str">
        <f>TEXT(Table1[[#This Row],[Order date ]],"MMM")</f>
        <v>Nov</v>
      </c>
      <c r="N310" s="10" t="str">
        <f>TEXT(Table1[[#This Row],[Order date ]],"DDD")</f>
        <v>Thu</v>
      </c>
      <c r="O310" s="10" t="str">
        <f>_xlfn.CONCAT("Q",ROUNDUP(Table1[[#This Row],[Month]]/3,0))</f>
        <v>Q4</v>
      </c>
      <c r="P310" s="12">
        <f>Table1[[#This Row],[Amount]]*Table1[[#This Row],[Units]]</f>
        <v>1505448</v>
      </c>
      <c r="Q310" s="13" t="str">
        <f>IF(Table1[[#This Row],[Total Sales]]&lt;AVERAGE(Table1[Total Sales]),"Low","High")</f>
        <v>High</v>
      </c>
    </row>
    <row r="311" spans="5:17" x14ac:dyDescent="0.3">
      <c r="E311" s="10">
        <v>307</v>
      </c>
      <c r="F311" s="10" t="s">
        <v>30</v>
      </c>
      <c r="G311" s="10" t="s">
        <v>39</v>
      </c>
      <c r="H311" s="10" t="s">
        <v>16</v>
      </c>
      <c r="I311" s="10">
        <v>4935</v>
      </c>
      <c r="J311" s="10">
        <v>126</v>
      </c>
      <c r="K311" s="11">
        <v>45233</v>
      </c>
      <c r="L311" s="13">
        <f>MONTH(Table1[[#This Row],[Order date ]])</f>
        <v>11</v>
      </c>
      <c r="M311" s="10" t="str">
        <f>TEXT(Table1[[#This Row],[Order date ]],"MMM")</f>
        <v>Nov</v>
      </c>
      <c r="N311" s="10" t="str">
        <f>TEXT(Table1[[#This Row],[Order date ]],"DDD")</f>
        <v>Fri</v>
      </c>
      <c r="O311" s="10" t="str">
        <f>_xlfn.CONCAT("Q",ROUNDUP(Table1[[#This Row],[Month]]/3,0))</f>
        <v>Q4</v>
      </c>
      <c r="P311" s="12">
        <f>Table1[[#This Row],[Amount]]*Table1[[#This Row],[Units]]</f>
        <v>621810</v>
      </c>
      <c r="Q311" s="13" t="str">
        <f>IF(Table1[[#This Row],[Total Sales]]&lt;AVERAGE(Table1[Total Sales]),"Low","High")</f>
        <v>Low</v>
      </c>
    </row>
    <row r="312" spans="5:17" x14ac:dyDescent="0.3">
      <c r="E312" s="10">
        <v>308</v>
      </c>
      <c r="F312" s="10" t="s">
        <v>32</v>
      </c>
      <c r="G312" s="10" t="s">
        <v>45</v>
      </c>
      <c r="H312" s="10" t="s">
        <v>23</v>
      </c>
      <c r="I312" s="10">
        <v>4781</v>
      </c>
      <c r="J312" s="10">
        <v>123</v>
      </c>
      <c r="K312" s="11">
        <v>45234</v>
      </c>
      <c r="L312" s="13">
        <f>MONTH(Table1[[#This Row],[Order date ]])</f>
        <v>11</v>
      </c>
      <c r="M312" s="10" t="str">
        <f>TEXT(Table1[[#This Row],[Order date ]],"MMM")</f>
        <v>Nov</v>
      </c>
      <c r="N312" s="10" t="str">
        <f>TEXT(Table1[[#This Row],[Order date ]],"DDD")</f>
        <v>Sat</v>
      </c>
      <c r="O312" s="10" t="str">
        <f>_xlfn.CONCAT("Q",ROUNDUP(Table1[[#This Row],[Month]]/3,0))</f>
        <v>Q4</v>
      </c>
      <c r="P312" s="12">
        <f>Table1[[#This Row],[Amount]]*Table1[[#This Row],[Units]]</f>
        <v>588063</v>
      </c>
      <c r="Q312" s="13" t="str">
        <f>IF(Table1[[#This Row],[Total Sales]]&lt;AVERAGE(Table1[Total Sales]),"Low","High")</f>
        <v>Low</v>
      </c>
    </row>
    <row r="313" spans="5:17" x14ac:dyDescent="0.3">
      <c r="E313" s="10">
        <v>309</v>
      </c>
      <c r="F313" s="10" t="s">
        <v>33</v>
      </c>
      <c r="G313" s="10" t="s">
        <v>37</v>
      </c>
      <c r="H313" s="10" t="s">
        <v>18</v>
      </c>
      <c r="I313" s="10">
        <v>7483</v>
      </c>
      <c r="J313" s="10">
        <v>45</v>
      </c>
      <c r="K313" s="11">
        <v>45235</v>
      </c>
      <c r="L313" s="13">
        <f>MONTH(Table1[[#This Row],[Order date ]])</f>
        <v>11</v>
      </c>
      <c r="M313" s="10" t="str">
        <f>TEXT(Table1[[#This Row],[Order date ]],"MMM")</f>
        <v>Nov</v>
      </c>
      <c r="N313" s="10" t="str">
        <f>TEXT(Table1[[#This Row],[Order date ]],"DDD")</f>
        <v>Sun</v>
      </c>
      <c r="O313" s="10" t="str">
        <f>_xlfn.CONCAT("Q",ROUNDUP(Table1[[#This Row],[Month]]/3,0))</f>
        <v>Q4</v>
      </c>
      <c r="P313" s="12">
        <f>Table1[[#This Row],[Amount]]*Table1[[#This Row],[Units]]</f>
        <v>336735</v>
      </c>
      <c r="Q313" s="13" t="str">
        <f>IF(Table1[[#This Row],[Total Sales]]&lt;AVERAGE(Table1[Total Sales]),"Low","High")</f>
        <v>Low</v>
      </c>
    </row>
    <row r="314" spans="5:17" x14ac:dyDescent="0.3">
      <c r="E314" s="10">
        <v>310</v>
      </c>
      <c r="F314" s="10" t="s">
        <v>35</v>
      </c>
      <c r="G314" s="10" t="s">
        <v>37</v>
      </c>
      <c r="H314" s="10" t="s">
        <v>2</v>
      </c>
      <c r="I314" s="10">
        <v>6860</v>
      </c>
      <c r="J314" s="10">
        <v>126</v>
      </c>
      <c r="K314" s="11">
        <v>45236</v>
      </c>
      <c r="L314" s="13">
        <f>MONTH(Table1[[#This Row],[Order date ]])</f>
        <v>11</v>
      </c>
      <c r="M314" s="10" t="str">
        <f>TEXT(Table1[[#This Row],[Order date ]],"MMM")</f>
        <v>Nov</v>
      </c>
      <c r="N314" s="10" t="str">
        <f>TEXT(Table1[[#This Row],[Order date ]],"DDD")</f>
        <v>Mon</v>
      </c>
      <c r="O314" s="10" t="str">
        <f>_xlfn.CONCAT("Q",ROUNDUP(Table1[[#This Row],[Month]]/3,0))</f>
        <v>Q4</v>
      </c>
      <c r="P314" s="12">
        <f>Table1[[#This Row],[Amount]]*Table1[[#This Row],[Units]]</f>
        <v>864360</v>
      </c>
      <c r="Q314" s="13" t="str">
        <f>IF(Table1[[#This Row],[Total Sales]]&lt;AVERAGE(Table1[Total Sales]),"Low","High")</f>
        <v>High</v>
      </c>
    </row>
    <row r="315" spans="5:17" x14ac:dyDescent="0.3">
      <c r="E315" s="10">
        <v>311</v>
      </c>
      <c r="F315" s="10" t="s">
        <v>28</v>
      </c>
      <c r="G315" s="10" t="s">
        <v>37</v>
      </c>
      <c r="H315" s="10" t="s">
        <v>24</v>
      </c>
      <c r="I315" s="10">
        <v>4326</v>
      </c>
      <c r="J315" s="10">
        <v>348</v>
      </c>
      <c r="K315" s="11">
        <v>45237</v>
      </c>
      <c r="L315" s="13">
        <f>MONTH(Table1[[#This Row],[Order date ]])</f>
        <v>11</v>
      </c>
      <c r="M315" s="10" t="str">
        <f>TEXT(Table1[[#This Row],[Order date ]],"MMM")</f>
        <v>Nov</v>
      </c>
      <c r="N315" s="10" t="str">
        <f>TEXT(Table1[[#This Row],[Order date ]],"DDD")</f>
        <v>Tue</v>
      </c>
      <c r="O315" s="10" t="str">
        <f>_xlfn.CONCAT("Q",ROUNDUP(Table1[[#This Row],[Month]]/3,0))</f>
        <v>Q4</v>
      </c>
      <c r="P315" s="12">
        <f>Table1[[#This Row],[Amount]]*Table1[[#This Row],[Units]]</f>
        <v>1505448</v>
      </c>
      <c r="Q315" s="13" t="str">
        <f>IF(Table1[[#This Row],[Total Sales]]&lt;AVERAGE(Table1[Total Sales]),"Low","High")</f>
        <v>High</v>
      </c>
    </row>
    <row r="316" spans="5:17" x14ac:dyDescent="0.3">
      <c r="E316" s="10">
        <v>312</v>
      </c>
      <c r="F316" s="10" t="s">
        <v>30</v>
      </c>
      <c r="G316" s="10" t="s">
        <v>39</v>
      </c>
      <c r="H316" s="10" t="s">
        <v>16</v>
      </c>
      <c r="I316" s="10">
        <v>4935</v>
      </c>
      <c r="J316" s="10">
        <v>126</v>
      </c>
      <c r="K316" s="11">
        <v>45238</v>
      </c>
      <c r="L316" s="13">
        <f>MONTH(Table1[[#This Row],[Order date ]])</f>
        <v>11</v>
      </c>
      <c r="M316" s="10" t="str">
        <f>TEXT(Table1[[#This Row],[Order date ]],"MMM")</f>
        <v>Nov</v>
      </c>
      <c r="N316" s="10" t="str">
        <f>TEXT(Table1[[#This Row],[Order date ]],"DDD")</f>
        <v>Wed</v>
      </c>
      <c r="O316" s="10" t="str">
        <f>_xlfn.CONCAT("Q",ROUNDUP(Table1[[#This Row],[Month]]/3,0))</f>
        <v>Q4</v>
      </c>
      <c r="P316" s="12">
        <f>Table1[[#This Row],[Amount]]*Table1[[#This Row],[Units]]</f>
        <v>621810</v>
      </c>
      <c r="Q316" s="13" t="str">
        <f>IF(Table1[[#This Row],[Total Sales]]&lt;AVERAGE(Table1[Total Sales]),"Low","High")</f>
        <v>Low</v>
      </c>
    </row>
    <row r="317" spans="5:17" x14ac:dyDescent="0.3">
      <c r="E317" s="10">
        <v>313</v>
      </c>
      <c r="F317" s="10" t="s">
        <v>32</v>
      </c>
      <c r="G317" s="10" t="s">
        <v>45</v>
      </c>
      <c r="H317" s="10" t="s">
        <v>23</v>
      </c>
      <c r="I317" s="10">
        <v>4781</v>
      </c>
      <c r="J317" s="10">
        <v>123</v>
      </c>
      <c r="K317" s="11">
        <v>45239</v>
      </c>
      <c r="L317" s="13">
        <f>MONTH(Table1[[#This Row],[Order date ]])</f>
        <v>11</v>
      </c>
      <c r="M317" s="10" t="str">
        <f>TEXT(Table1[[#This Row],[Order date ]],"MMM")</f>
        <v>Nov</v>
      </c>
      <c r="N317" s="10" t="str">
        <f>TEXT(Table1[[#This Row],[Order date ]],"DDD")</f>
        <v>Thu</v>
      </c>
      <c r="O317" s="10" t="str">
        <f>_xlfn.CONCAT("Q",ROUNDUP(Table1[[#This Row],[Month]]/3,0))</f>
        <v>Q4</v>
      </c>
      <c r="P317" s="12">
        <f>Table1[[#This Row],[Amount]]*Table1[[#This Row],[Units]]</f>
        <v>588063</v>
      </c>
      <c r="Q317" s="13" t="str">
        <f>IF(Table1[[#This Row],[Total Sales]]&lt;AVERAGE(Table1[Total Sales]),"Low","High")</f>
        <v>Low</v>
      </c>
    </row>
    <row r="318" spans="5:17" x14ac:dyDescent="0.3">
      <c r="E318" s="10">
        <v>314</v>
      </c>
      <c r="F318" s="10" t="s">
        <v>33</v>
      </c>
      <c r="G318" s="10" t="s">
        <v>37</v>
      </c>
      <c r="H318" s="10" t="s">
        <v>18</v>
      </c>
      <c r="I318" s="10">
        <v>7483</v>
      </c>
      <c r="J318" s="10">
        <v>45</v>
      </c>
      <c r="K318" s="11">
        <v>45240</v>
      </c>
      <c r="L318" s="13">
        <f>MONTH(Table1[[#This Row],[Order date ]])</f>
        <v>11</v>
      </c>
      <c r="M318" s="10" t="str">
        <f>TEXT(Table1[[#This Row],[Order date ]],"MMM")</f>
        <v>Nov</v>
      </c>
      <c r="N318" s="10" t="str">
        <f>TEXT(Table1[[#This Row],[Order date ]],"DDD")</f>
        <v>Fri</v>
      </c>
      <c r="O318" s="10" t="str">
        <f>_xlfn.CONCAT("Q",ROUNDUP(Table1[[#This Row],[Month]]/3,0))</f>
        <v>Q4</v>
      </c>
      <c r="P318" s="12">
        <f>Table1[[#This Row],[Amount]]*Table1[[#This Row],[Units]]</f>
        <v>336735</v>
      </c>
      <c r="Q318" s="13" t="str">
        <f>IF(Table1[[#This Row],[Total Sales]]&lt;AVERAGE(Table1[Total Sales]),"Low","High")</f>
        <v>Low</v>
      </c>
    </row>
    <row r="319" spans="5:17" x14ac:dyDescent="0.3">
      <c r="E319" s="10">
        <v>315</v>
      </c>
      <c r="F319" s="10" t="s">
        <v>35</v>
      </c>
      <c r="G319" s="10" t="s">
        <v>37</v>
      </c>
      <c r="H319" s="10" t="s">
        <v>2</v>
      </c>
      <c r="I319" s="10">
        <v>6860</v>
      </c>
      <c r="J319" s="10">
        <v>126</v>
      </c>
      <c r="K319" s="11">
        <v>45241</v>
      </c>
      <c r="L319" s="13">
        <f>MONTH(Table1[[#This Row],[Order date ]])</f>
        <v>11</v>
      </c>
      <c r="M319" s="10" t="str">
        <f>TEXT(Table1[[#This Row],[Order date ]],"MMM")</f>
        <v>Nov</v>
      </c>
      <c r="N319" s="10" t="str">
        <f>TEXT(Table1[[#This Row],[Order date ]],"DDD")</f>
        <v>Sat</v>
      </c>
      <c r="O319" s="10" t="str">
        <f>_xlfn.CONCAT("Q",ROUNDUP(Table1[[#This Row],[Month]]/3,0))</f>
        <v>Q4</v>
      </c>
      <c r="P319" s="12">
        <f>Table1[[#This Row],[Amount]]*Table1[[#This Row],[Units]]</f>
        <v>864360</v>
      </c>
      <c r="Q319" s="13" t="str">
        <f>IF(Table1[[#This Row],[Total Sales]]&lt;AVERAGE(Table1[Total Sales]),"Low","High")</f>
        <v>High</v>
      </c>
    </row>
  </sheetData>
  <conditionalFormatting sqref="Q5:Q319">
    <cfRule type="cellIs" dxfId="0" priority="2" operator="equal">
      <formula>"Low"</formula>
    </cfRule>
    <cfRule type="cellIs" dxfId="1" priority="1" operator="equal">
      <formula>"High"</formula>
    </cfRule>
  </conditionalFormatting>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2:D18"/>
  <sheetViews>
    <sheetView topLeftCell="A7" zoomScale="140" zoomScaleNormal="140" workbookViewId="0">
      <selection activeCell="H18" sqref="H18"/>
    </sheetView>
  </sheetViews>
  <sheetFormatPr defaultRowHeight="14.4" x14ac:dyDescent="0.3"/>
  <cols>
    <col min="1" max="1" width="1.77734375" style="2" customWidth="1"/>
    <col min="2" max="2" width="8.33203125" style="2" customWidth="1"/>
    <col min="3" max="3" width="14.21875" style="2" customWidth="1"/>
    <col min="4" max="16384" width="8.88671875" style="2"/>
  </cols>
  <sheetData>
    <row r="2" spans="3:4" ht="8.4" customHeight="1" x14ac:dyDescent="0.3"/>
    <row r="3" spans="3:4" ht="22.8" customHeight="1" x14ac:dyDescent="0.4">
      <c r="C3" s="1" t="s">
        <v>48</v>
      </c>
    </row>
    <row r="4" spans="3:4" ht="19.8" customHeight="1" x14ac:dyDescent="0.35">
      <c r="C4" s="3" t="s">
        <v>58</v>
      </c>
    </row>
    <row r="5" spans="3:4" ht="26.4" customHeight="1" x14ac:dyDescent="0.35">
      <c r="C5" s="3" t="s">
        <v>49</v>
      </c>
    </row>
    <row r="6" spans="3:4" ht="26.4" customHeight="1" x14ac:dyDescent="0.35">
      <c r="C6" s="3" t="s">
        <v>69</v>
      </c>
    </row>
    <row r="7" spans="3:4" ht="33.6" customHeight="1" x14ac:dyDescent="0.35">
      <c r="C7" s="3" t="s">
        <v>68</v>
      </c>
    </row>
    <row r="8" spans="3:4" ht="33.6" customHeight="1" x14ac:dyDescent="0.35">
      <c r="C8" s="3" t="s">
        <v>78</v>
      </c>
    </row>
    <row r="9" spans="3:4" ht="33.6" customHeight="1" x14ac:dyDescent="0.35">
      <c r="C9" s="3"/>
    </row>
    <row r="10" spans="3:4" ht="15" customHeight="1" x14ac:dyDescent="0.3"/>
    <row r="11" spans="3:4" ht="21" x14ac:dyDescent="0.4">
      <c r="C11" s="1" t="s">
        <v>50</v>
      </c>
    </row>
    <row r="12" spans="3:4" ht="21.6" customHeight="1" x14ac:dyDescent="0.3">
      <c r="C12" t="s">
        <v>47</v>
      </c>
      <c r="D12" s="2" t="s">
        <v>51</v>
      </c>
    </row>
    <row r="13" spans="3:4" ht="21.6" customHeight="1" x14ac:dyDescent="0.3">
      <c r="C13" t="s">
        <v>4</v>
      </c>
      <c r="D13" s="2" t="s">
        <v>52</v>
      </c>
    </row>
    <row r="14" spans="3:4" ht="21.6" customHeight="1" x14ac:dyDescent="0.3">
      <c r="C14" t="s">
        <v>5</v>
      </c>
      <c r="D14" s="2" t="s">
        <v>53</v>
      </c>
    </row>
    <row r="15" spans="3:4" ht="21.6" customHeight="1" x14ac:dyDescent="0.3">
      <c r="C15" t="s">
        <v>0</v>
      </c>
      <c r="D15" s="2" t="s">
        <v>54</v>
      </c>
    </row>
    <row r="16" spans="3:4" ht="21.6" customHeight="1" x14ac:dyDescent="0.3">
      <c r="C16" t="s">
        <v>1</v>
      </c>
      <c r="D16" s="2" t="s">
        <v>55</v>
      </c>
    </row>
    <row r="17" spans="3:4" ht="21.6" customHeight="1" x14ac:dyDescent="0.3">
      <c r="C17" t="s">
        <v>27</v>
      </c>
      <c r="D17" s="2" t="s">
        <v>56</v>
      </c>
    </row>
    <row r="18" spans="3:4" ht="21.6" customHeight="1" x14ac:dyDescent="0.3">
      <c r="C18" t="s">
        <v>46</v>
      </c>
      <c r="D18" s="2" t="s">
        <v>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4:B19"/>
  <sheetViews>
    <sheetView topLeftCell="A8" zoomScale="205" zoomScaleNormal="205" workbookViewId="0">
      <selection activeCell="B19" sqref="B19"/>
    </sheetView>
  </sheetViews>
  <sheetFormatPr defaultRowHeight="14.4" x14ac:dyDescent="0.3"/>
  <cols>
    <col min="2" max="2" width="32.44140625" bestFit="1" customWidth="1"/>
  </cols>
  <sheetData>
    <row r="4" spans="2:2" ht="21" x14ac:dyDescent="0.3">
      <c r="B4" s="5" t="s">
        <v>76</v>
      </c>
    </row>
    <row r="5" spans="2:2" ht="18" customHeight="1" x14ac:dyDescent="0.3">
      <c r="B5" t="s">
        <v>70</v>
      </c>
    </row>
    <row r="6" spans="2:2" ht="18" customHeight="1" x14ac:dyDescent="0.3">
      <c r="B6" t="s">
        <v>71</v>
      </c>
    </row>
    <row r="7" spans="2:2" ht="18" customHeight="1" x14ac:dyDescent="0.3">
      <c r="B7" t="s">
        <v>72</v>
      </c>
    </row>
    <row r="8" spans="2:2" ht="18" customHeight="1" x14ac:dyDescent="0.3">
      <c r="B8" t="s">
        <v>74</v>
      </c>
    </row>
    <row r="9" spans="2:2" ht="18" customHeight="1" x14ac:dyDescent="0.3">
      <c r="B9" t="s">
        <v>75</v>
      </c>
    </row>
    <row r="10" spans="2:2" ht="18" customHeight="1" x14ac:dyDescent="0.3">
      <c r="B10" t="s">
        <v>73</v>
      </c>
    </row>
    <row r="11" spans="2:2" ht="18" customHeight="1" x14ac:dyDescent="0.3">
      <c r="B11" t="s">
        <v>59</v>
      </c>
    </row>
    <row r="12" spans="2:2" ht="18" customHeight="1" x14ac:dyDescent="0.3">
      <c r="B12" t="s">
        <v>60</v>
      </c>
    </row>
    <row r="13" spans="2:2" ht="18" customHeight="1" x14ac:dyDescent="0.3">
      <c r="B13" t="s">
        <v>61</v>
      </c>
    </row>
    <row r="14" spans="2:2" ht="18" customHeight="1" x14ac:dyDescent="0.3">
      <c r="B14" t="s">
        <v>62</v>
      </c>
    </row>
    <row r="15" spans="2:2" ht="18" customHeight="1" x14ac:dyDescent="0.3">
      <c r="B15" t="s">
        <v>63</v>
      </c>
    </row>
    <row r="16" spans="2:2" ht="18" customHeight="1" x14ac:dyDescent="0.3">
      <c r="B16" t="s">
        <v>64</v>
      </c>
    </row>
    <row r="17" spans="2:2" ht="18" customHeight="1" x14ac:dyDescent="0.3">
      <c r="B17" t="s">
        <v>65</v>
      </c>
    </row>
    <row r="18" spans="2:2" ht="18" customHeight="1" x14ac:dyDescent="0.3">
      <c r="B18" t="s">
        <v>66</v>
      </c>
    </row>
    <row r="19" spans="2:2" ht="18" customHeight="1" x14ac:dyDescent="0.3">
      <c r="B19" t="s">
        <v>67</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2:K18"/>
  <sheetViews>
    <sheetView workbookViewId="0">
      <selection activeCell="I3" sqref="I3"/>
    </sheetView>
  </sheetViews>
  <sheetFormatPr defaultRowHeight="36.6" customHeight="1" x14ac:dyDescent="0.3"/>
  <cols>
    <col min="1" max="2" width="8.88671875" style="2"/>
    <col min="3" max="3" width="48.6640625" style="2" bestFit="1" customWidth="1"/>
    <col min="4" max="16384" width="8.88671875" style="2"/>
  </cols>
  <sheetData>
    <row r="2" spans="3:11" ht="36.6" customHeight="1" x14ac:dyDescent="0.3">
      <c r="C2" s="9" t="s">
        <v>77</v>
      </c>
      <c r="D2" s="9"/>
      <c r="E2" s="9"/>
      <c r="F2" s="9"/>
      <c r="G2" s="9"/>
      <c r="H2" s="9"/>
      <c r="I2" s="9"/>
      <c r="J2" s="9"/>
      <c r="K2" s="9"/>
    </row>
    <row r="4" spans="3:11" ht="36.6" customHeight="1" x14ac:dyDescent="0.3">
      <c r="C4" s="6" t="s">
        <v>70</v>
      </c>
      <c r="E4" s="8"/>
      <c r="F4" s="8"/>
      <c r="G4" s="8"/>
      <c r="H4" s="8"/>
      <c r="I4" s="8"/>
      <c r="J4" s="8"/>
      <c r="K4" s="8"/>
    </row>
    <row r="5" spans="3:11" ht="36.6" customHeight="1" x14ac:dyDescent="0.3">
      <c r="C5" s="6" t="s">
        <v>71</v>
      </c>
      <c r="E5" s="8"/>
      <c r="F5" s="8"/>
      <c r="G5" s="8"/>
      <c r="H5" s="8"/>
      <c r="I5" s="8"/>
      <c r="J5" s="8"/>
      <c r="K5" s="8"/>
    </row>
    <row r="6" spans="3:11" ht="36.6" customHeight="1" x14ac:dyDescent="0.3">
      <c r="C6" s="6" t="s">
        <v>72</v>
      </c>
      <c r="E6" s="8"/>
      <c r="F6" s="8"/>
      <c r="G6" s="8"/>
      <c r="H6" s="8"/>
      <c r="I6" s="8"/>
      <c r="J6" s="8"/>
      <c r="K6" s="8"/>
    </row>
    <row r="7" spans="3:11" ht="36.6" customHeight="1" x14ac:dyDescent="0.3">
      <c r="C7" s="6" t="s">
        <v>74</v>
      </c>
      <c r="E7" s="8"/>
      <c r="F7" s="8"/>
      <c r="G7" s="8"/>
      <c r="H7" s="8"/>
      <c r="I7" s="8"/>
      <c r="J7" s="8"/>
      <c r="K7" s="8"/>
    </row>
    <row r="8" spans="3:11" ht="36.6" customHeight="1" x14ac:dyDescent="0.3">
      <c r="C8" s="6" t="s">
        <v>75</v>
      </c>
      <c r="E8" s="8"/>
      <c r="F8" s="8"/>
      <c r="G8" s="8"/>
      <c r="H8" s="8"/>
      <c r="I8" s="8"/>
      <c r="J8" s="8"/>
      <c r="K8" s="8"/>
    </row>
    <row r="9" spans="3:11" ht="36.6" customHeight="1" x14ac:dyDescent="0.3">
      <c r="C9" s="6" t="s">
        <v>73</v>
      </c>
      <c r="E9" s="8"/>
      <c r="F9" s="8"/>
      <c r="G9" s="8"/>
      <c r="H9" s="8"/>
      <c r="I9" s="8"/>
      <c r="J9" s="8"/>
      <c r="K9" s="8"/>
    </row>
    <row r="10" spans="3:11" ht="36.6" customHeight="1" x14ac:dyDescent="0.3">
      <c r="C10" s="6" t="s">
        <v>59</v>
      </c>
      <c r="E10" s="8"/>
      <c r="F10" s="8"/>
      <c r="G10" s="8"/>
      <c r="H10" s="8"/>
      <c r="I10" s="8"/>
      <c r="J10" s="8"/>
      <c r="K10" s="8"/>
    </row>
    <row r="11" spans="3:11" ht="36.6" customHeight="1" x14ac:dyDescent="0.3">
      <c r="C11" s="6" t="s">
        <v>60</v>
      </c>
      <c r="E11" s="8"/>
      <c r="F11" s="8"/>
      <c r="G11" s="8"/>
      <c r="H11" s="8"/>
      <c r="I11" s="8"/>
      <c r="J11" s="8"/>
      <c r="K11" s="8"/>
    </row>
    <row r="12" spans="3:11" ht="36.6" customHeight="1" x14ac:dyDescent="0.3">
      <c r="C12" s="6" t="s">
        <v>61</v>
      </c>
      <c r="E12" s="8"/>
      <c r="F12" s="8"/>
      <c r="G12" s="8"/>
      <c r="H12" s="8"/>
      <c r="I12" s="8"/>
      <c r="J12" s="8"/>
      <c r="K12" s="8"/>
    </row>
    <row r="13" spans="3:11" ht="36.6" customHeight="1" x14ac:dyDescent="0.3">
      <c r="C13" s="6" t="s">
        <v>62</v>
      </c>
      <c r="E13" s="8"/>
      <c r="F13" s="8"/>
      <c r="G13" s="8"/>
      <c r="H13" s="8"/>
      <c r="I13" s="8"/>
      <c r="J13" s="8"/>
      <c r="K13" s="8"/>
    </row>
    <row r="14" spans="3:11" ht="36.6" customHeight="1" x14ac:dyDescent="0.3">
      <c r="C14" s="6" t="s">
        <v>63</v>
      </c>
      <c r="E14" s="8"/>
      <c r="F14" s="8"/>
      <c r="G14" s="8"/>
      <c r="H14" s="8"/>
      <c r="I14" s="8"/>
      <c r="J14" s="8"/>
      <c r="K14" s="8"/>
    </row>
    <row r="15" spans="3:11" ht="36.6" customHeight="1" x14ac:dyDescent="0.3">
      <c r="C15" s="6" t="s">
        <v>64</v>
      </c>
      <c r="E15" s="8"/>
      <c r="F15" s="8"/>
      <c r="G15" s="8"/>
      <c r="H15" s="8"/>
      <c r="I15" s="8"/>
      <c r="J15" s="8"/>
      <c r="K15" s="8"/>
    </row>
    <row r="16" spans="3:11" ht="36.6" customHeight="1" x14ac:dyDescent="0.3">
      <c r="C16" s="6" t="s">
        <v>65</v>
      </c>
      <c r="E16" s="8"/>
      <c r="F16" s="8"/>
      <c r="G16" s="8"/>
      <c r="H16" s="8"/>
      <c r="I16" s="8"/>
      <c r="J16" s="8"/>
      <c r="K16" s="8"/>
    </row>
    <row r="17" spans="3:11" ht="36.6" customHeight="1" x14ac:dyDescent="0.3">
      <c r="C17" s="6" t="s">
        <v>66</v>
      </c>
      <c r="E17" s="8"/>
      <c r="F17" s="8"/>
      <c r="G17" s="8"/>
      <c r="H17" s="8"/>
      <c r="I17" s="8"/>
      <c r="J17" s="8"/>
      <c r="K17" s="8"/>
    </row>
    <row r="18" spans="3:11" ht="36.6" customHeight="1" x14ac:dyDescent="0.3">
      <c r="C18" s="6" t="s">
        <v>67</v>
      </c>
      <c r="E18" s="8"/>
      <c r="F18" s="8"/>
      <c r="G18" s="8"/>
      <c r="H18" s="8"/>
      <c r="I18" s="8"/>
      <c r="J18" s="8"/>
      <c r="K18" s="8"/>
    </row>
  </sheetData>
  <mergeCells count="16">
    <mergeCell ref="E16:K16"/>
    <mergeCell ref="E17:K17"/>
    <mergeCell ref="E18:K18"/>
    <mergeCell ref="C2:K2"/>
    <mergeCell ref="E10:K10"/>
    <mergeCell ref="E11:K11"/>
    <mergeCell ref="E12:K12"/>
    <mergeCell ref="E13:K13"/>
    <mergeCell ref="E14:K14"/>
    <mergeCell ref="E15:K15"/>
    <mergeCell ref="E4:K4"/>
    <mergeCell ref="E5:K5"/>
    <mergeCell ref="E6:K6"/>
    <mergeCell ref="E7:K7"/>
    <mergeCell ref="E8:K8"/>
    <mergeCell ref="E9:K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Funcions vs Formulas</vt:lpstr>
      <vt:lpstr>Data Types</vt:lpstr>
      <vt:lpstr>Functions</vt:lpstr>
      <vt:lpstr>IF</vt:lpstr>
      <vt:lpstr>Aggregations with if</vt:lpstr>
      <vt:lpstr>Raw-data  (2)</vt:lpstr>
      <vt:lpstr>Raw-data </vt:lpstr>
      <vt:lpstr>Meta-data </vt:lpstr>
      <vt:lpstr>Questions</vt:lpstr>
      <vt:lpstr>Solve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Omar El Maghraby</cp:lastModifiedBy>
  <dcterms:created xsi:type="dcterms:W3CDTF">2021-03-14T20:21:32Z</dcterms:created>
  <dcterms:modified xsi:type="dcterms:W3CDTF">2026-01-09T15:16:11Z</dcterms:modified>
</cp:coreProperties>
</file>