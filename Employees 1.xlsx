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21d7596d8164d72f/Desktop/"/>
    </mc:Choice>
  </mc:AlternateContent>
  <xr:revisionPtr revIDLastSave="191" documentId="13_ncr:1_{F3468EF4-07DB-4C43-9FFA-702F49085E44}" xr6:coauthVersionLast="47" xr6:coauthVersionMax="47" xr10:uidLastSave="{43719C24-7F01-4A94-B428-4180FFEE0444}"/>
  <bookViews>
    <workbookView minimized="1" xWindow="5712" yWindow="4416" windowWidth="17280" windowHeight="9960" activeTab="1" xr2:uid="{5464F1E1-7CD8-1548-BCE7-742F9BDBAFDD}"/>
  </bookViews>
  <sheets>
    <sheet name="Sheet2" sheetId="3" r:id="rId1"/>
    <sheet name="Employees" sheetId="1" r:id="rId2"/>
    <sheet name="Questions" sheetId="2" r:id="rId3"/>
  </sheets>
  <definedNames>
    <definedName name="Slicer_Departmen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s="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s="1"/>
  <c r="O247" i="1" a="1"/>
  <c r="O247" i="1" s="1"/>
  <c r="O248" i="1" a="1"/>
  <c r="O248" i="1" s="1"/>
  <c r="O249" i="1" a="1"/>
  <c r="O249" i="1" s="1"/>
  <c r="O250" i="1" a="1"/>
  <c r="O250" i="1" s="1"/>
  <c r="O251" i="1" a="1"/>
  <c r="O251" i="1" s="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s="1"/>
  <c r="O408" i="1" a="1"/>
  <c r="O408" i="1" s="1"/>
  <c r="O409" i="1" a="1"/>
  <c r="O409" i="1" s="1"/>
  <c r="O410" i="1" a="1"/>
  <c r="O410" i="1" s="1"/>
  <c r="O411" i="1" a="1"/>
  <c r="O411" i="1" s="1"/>
  <c r="O412" i="1" a="1"/>
  <c r="O412" i="1" s="1"/>
  <c r="O413" i="1" a="1"/>
  <c r="O413" i="1" s="1"/>
  <c r="O414" i="1" a="1"/>
  <c r="O414" i="1" s="1"/>
  <c r="O415" i="1" a="1"/>
  <c r="O415" i="1" s="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s="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s="1"/>
  <c r="O528" i="1" a="1"/>
  <c r="O528" i="1" s="1"/>
  <c r="O529" i="1" a="1"/>
  <c r="O529" i="1" s="1"/>
  <c r="O530" i="1" a="1"/>
  <c r="O530" i="1"/>
  <c r="O531" i="1" a="1"/>
  <c r="O531" i="1" s="1"/>
  <c r="O532" i="1" a="1"/>
  <c r="O532" i="1" s="1"/>
  <c r="O533" i="1" a="1"/>
  <c r="O533" i="1" s="1"/>
  <c r="O534" i="1" a="1"/>
  <c r="O534" i="1" s="1"/>
  <c r="O535" i="1" a="1"/>
  <c r="O535" i="1" s="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s="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s="1"/>
  <c r="O629" i="1" a="1"/>
  <c r="O629" i="1" s="1"/>
  <c r="O630" i="1" a="1"/>
  <c r="O630" i="1" s="1"/>
  <c r="O631" i="1" a="1"/>
  <c r="O631" i="1" s="1"/>
  <c r="O632" i="1" a="1"/>
  <c r="O632" i="1" s="1"/>
  <c r="O633" i="1" a="1"/>
  <c r="O633" i="1" s="1"/>
  <c r="O634" i="1" a="1"/>
  <c r="O634" i="1" s="1"/>
  <c r="O635" i="1" a="1"/>
  <c r="O635" i="1" s="1"/>
  <c r="O636" i="1" a="1"/>
  <c r="O636" i="1" s="1"/>
  <c r="O637" i="1" a="1"/>
  <c r="O637" i="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s="1"/>
  <c r="O686" i="1" a="1"/>
  <c r="O686" i="1" s="1"/>
  <c r="O687" i="1" a="1"/>
  <c r="O687" i="1" s="1"/>
  <c r="O688" i="1" a="1"/>
  <c r="O688" i="1" s="1"/>
  <c r="O689" i="1" a="1"/>
  <c r="O689" i="1" s="1"/>
  <c r="O690" i="1" a="1"/>
  <c r="O690" i="1" s="1"/>
  <c r="G2" i="1"/>
  <c r="H2" i="1" s="1" a="1"/>
  <c r="H2" i="1" s="1"/>
  <c r="G3" i="1"/>
  <c r="H3" i="1" s="1" a="1"/>
  <c r="H3" i="1" s="1"/>
  <c r="G4" i="1"/>
  <c r="H4" i="1" s="1" a="1"/>
  <c r="H4" i="1" s="1"/>
  <c r="G5" i="1"/>
  <c r="H5" i="1" s="1" a="1"/>
  <c r="H5" i="1" s="1"/>
  <c r="G6" i="1"/>
  <c r="H6" i="1" s="1" a="1"/>
  <c r="H6" i="1" s="1"/>
  <c r="G7" i="1"/>
  <c r="H7" i="1" s="1" a="1"/>
  <c r="H7" i="1" s="1"/>
  <c r="G8" i="1"/>
  <c r="H8" i="1" s="1" a="1"/>
  <c r="H8" i="1" s="1"/>
  <c r="G9" i="1"/>
  <c r="H9" i="1" s="1" a="1"/>
  <c r="H9" i="1" s="1"/>
  <c r="G10" i="1"/>
  <c r="H10" i="1" s="1" a="1"/>
  <c r="H10" i="1" s="1"/>
  <c r="G11" i="1"/>
  <c r="H11" i="1" s="1" a="1"/>
  <c r="H11" i="1" s="1"/>
  <c r="G12" i="1"/>
  <c r="H12" i="1" s="1" a="1"/>
  <c r="H12" i="1" s="1"/>
  <c r="G13" i="1"/>
  <c r="H13" i="1" s="1" a="1"/>
  <c r="H13" i="1" s="1"/>
  <c r="G14" i="1"/>
  <c r="H14" i="1" s="1" a="1"/>
  <c r="H14" i="1" s="1"/>
  <c r="G15" i="1"/>
  <c r="H15" i="1" s="1" a="1"/>
  <c r="H15" i="1" s="1"/>
  <c r="G16" i="1"/>
  <c r="H16" i="1" s="1" a="1"/>
  <c r="H16" i="1" s="1"/>
  <c r="G17" i="1"/>
  <c r="H17" i="1" s="1" a="1"/>
  <c r="H17" i="1" s="1"/>
  <c r="G18" i="1"/>
  <c r="H18" i="1" s="1" a="1"/>
  <c r="H18" i="1" s="1"/>
  <c r="G19" i="1"/>
  <c r="H19" i="1" s="1" a="1"/>
  <c r="H19" i="1" s="1"/>
  <c r="G20" i="1"/>
  <c r="H20" i="1" s="1" a="1"/>
  <c r="H20" i="1" s="1"/>
  <c r="G21" i="1"/>
  <c r="H21" i="1" s="1" a="1"/>
  <c r="H21" i="1" s="1"/>
  <c r="G22" i="1"/>
  <c r="H22" i="1" s="1" a="1"/>
  <c r="H22" i="1" s="1"/>
  <c r="G23" i="1"/>
  <c r="H23" i="1" s="1" a="1"/>
  <c r="H23" i="1" s="1"/>
  <c r="G24" i="1"/>
  <c r="H24" i="1" s="1" a="1"/>
  <c r="H24" i="1" s="1"/>
  <c r="G25" i="1"/>
  <c r="H25" i="1" s="1" a="1"/>
  <c r="H25" i="1" s="1"/>
  <c r="G26" i="1"/>
  <c r="H26" i="1" s="1" a="1"/>
  <c r="H26" i="1" s="1"/>
  <c r="G27" i="1"/>
  <c r="H27" i="1" s="1" a="1"/>
  <c r="H27" i="1" s="1"/>
  <c r="G28" i="1"/>
  <c r="H28" i="1" s="1" a="1"/>
  <c r="H28" i="1" s="1"/>
  <c r="G29" i="1"/>
  <c r="H29" i="1" s="1" a="1"/>
  <c r="H29" i="1" s="1"/>
  <c r="G30" i="1"/>
  <c r="H30" i="1" s="1" a="1"/>
  <c r="H30" i="1" s="1"/>
  <c r="G31" i="1"/>
  <c r="H31" i="1" s="1" a="1"/>
  <c r="H31" i="1" s="1"/>
  <c r="G32" i="1"/>
  <c r="H32" i="1" s="1" a="1"/>
  <c r="H32" i="1" s="1"/>
  <c r="G33" i="1"/>
  <c r="H33" i="1" s="1" a="1"/>
  <c r="H33" i="1" s="1"/>
  <c r="G34" i="1"/>
  <c r="H34" i="1" s="1" a="1"/>
  <c r="H34" i="1" s="1"/>
  <c r="G35" i="1"/>
  <c r="H35" i="1" s="1" a="1"/>
  <c r="H35" i="1" s="1"/>
  <c r="G36" i="1"/>
  <c r="H36" i="1" s="1" a="1"/>
  <c r="H36" i="1" s="1"/>
  <c r="G37" i="1"/>
  <c r="H37" i="1" s="1" a="1"/>
  <c r="H37" i="1" s="1"/>
  <c r="G38" i="1"/>
  <c r="H38" i="1" s="1" a="1"/>
  <c r="H38" i="1" s="1"/>
  <c r="G39" i="1"/>
  <c r="H39" i="1" s="1" a="1"/>
  <c r="H39" i="1" s="1"/>
  <c r="G40" i="1"/>
  <c r="H40" i="1" s="1" a="1"/>
  <c r="H40" i="1" s="1"/>
  <c r="G41" i="1"/>
  <c r="H41" i="1" s="1" a="1"/>
  <c r="H41" i="1" s="1"/>
  <c r="G42" i="1"/>
  <c r="H42" i="1" s="1" a="1"/>
  <c r="H42" i="1" s="1"/>
  <c r="G43" i="1"/>
  <c r="H43" i="1" s="1" a="1"/>
  <c r="H43" i="1" s="1"/>
  <c r="G44" i="1"/>
  <c r="H44" i="1" s="1" a="1"/>
  <c r="H44" i="1" s="1"/>
  <c r="G45" i="1"/>
  <c r="H45" i="1" s="1" a="1"/>
  <c r="H45" i="1" s="1"/>
  <c r="G46" i="1"/>
  <c r="H46" i="1" s="1" a="1"/>
  <c r="H46" i="1" s="1"/>
  <c r="G47" i="1"/>
  <c r="H47" i="1" s="1" a="1"/>
  <c r="H47" i="1" s="1"/>
  <c r="G48" i="1"/>
  <c r="H48" i="1" s="1" a="1"/>
  <c r="H48" i="1" s="1"/>
  <c r="G49" i="1"/>
  <c r="H49" i="1" s="1" a="1"/>
  <c r="H49" i="1" s="1"/>
  <c r="G50" i="1"/>
  <c r="H50" i="1" s="1" a="1"/>
  <c r="H50" i="1" s="1"/>
  <c r="G51" i="1"/>
  <c r="H51" i="1" s="1" a="1"/>
  <c r="H51" i="1" s="1"/>
  <c r="G52" i="1"/>
  <c r="H52" i="1" s="1" a="1"/>
  <c r="H52" i="1" s="1"/>
  <c r="G53" i="1"/>
  <c r="H53" i="1" s="1" a="1"/>
  <c r="H53" i="1" s="1"/>
  <c r="G54" i="1"/>
  <c r="H54" i="1" s="1" a="1"/>
  <c r="H54" i="1" s="1"/>
  <c r="G55" i="1"/>
  <c r="H55" i="1" s="1" a="1"/>
  <c r="H55" i="1" s="1"/>
  <c r="G56" i="1"/>
  <c r="H56" i="1" s="1" a="1"/>
  <c r="H56" i="1" s="1"/>
  <c r="G57" i="1"/>
  <c r="H57" i="1" s="1" a="1"/>
  <c r="H57" i="1" s="1"/>
  <c r="G58" i="1"/>
  <c r="H58" i="1" s="1" a="1"/>
  <c r="H58" i="1" s="1"/>
  <c r="G59" i="1"/>
  <c r="H59" i="1" s="1" a="1"/>
  <c r="H59" i="1" s="1"/>
  <c r="G60" i="1"/>
  <c r="H60" i="1" s="1" a="1"/>
  <c r="H60" i="1" s="1"/>
  <c r="G61" i="1"/>
  <c r="H61" i="1" s="1" a="1"/>
  <c r="H61" i="1" s="1"/>
  <c r="G62" i="1"/>
  <c r="H62" i="1" s="1" a="1"/>
  <c r="H62" i="1" s="1"/>
  <c r="G63" i="1"/>
  <c r="H63" i="1" s="1" a="1"/>
  <c r="H63" i="1" s="1"/>
  <c r="G64" i="1"/>
  <c r="H64" i="1" s="1" a="1"/>
  <c r="H64" i="1" s="1"/>
  <c r="G65" i="1"/>
  <c r="H65" i="1" s="1" a="1"/>
  <c r="H65" i="1" s="1"/>
  <c r="G66" i="1"/>
  <c r="H66" i="1" s="1" a="1"/>
  <c r="H66" i="1" s="1"/>
  <c r="G67" i="1"/>
  <c r="H67" i="1" s="1" a="1"/>
  <c r="H67" i="1" s="1"/>
  <c r="G68" i="1"/>
  <c r="H68" i="1" s="1" a="1"/>
  <c r="H68" i="1" s="1"/>
  <c r="G69" i="1"/>
  <c r="H69" i="1" s="1" a="1"/>
  <c r="H69" i="1" s="1"/>
  <c r="G70" i="1"/>
  <c r="H70" i="1" s="1" a="1"/>
  <c r="H70" i="1" s="1"/>
  <c r="G71" i="1"/>
  <c r="H71" i="1" s="1" a="1"/>
  <c r="H71" i="1" s="1"/>
  <c r="G72" i="1"/>
  <c r="H72" i="1" s="1" a="1"/>
  <c r="H72" i="1" s="1"/>
  <c r="G73" i="1"/>
  <c r="H73" i="1" s="1" a="1"/>
  <c r="H73" i="1" s="1"/>
  <c r="G74" i="1"/>
  <c r="H74" i="1" s="1" a="1"/>
  <c r="H74" i="1" s="1"/>
  <c r="G75" i="1"/>
  <c r="H75" i="1" s="1" a="1"/>
  <c r="H75" i="1" s="1"/>
  <c r="G76" i="1"/>
  <c r="H76" i="1" s="1" a="1"/>
  <c r="H76" i="1" s="1"/>
  <c r="G77" i="1"/>
  <c r="H77" i="1" s="1" a="1"/>
  <c r="H77" i="1" s="1"/>
  <c r="G78" i="1"/>
  <c r="H78" i="1" s="1" a="1"/>
  <c r="H78" i="1" s="1"/>
  <c r="G79" i="1"/>
  <c r="H79" i="1" s="1" a="1"/>
  <c r="H79" i="1" s="1"/>
  <c r="G80" i="1"/>
  <c r="H80" i="1" s="1" a="1"/>
  <c r="H80" i="1" s="1"/>
  <c r="G81" i="1"/>
  <c r="H81" i="1" s="1" a="1"/>
  <c r="H81" i="1" s="1"/>
  <c r="G82" i="1"/>
  <c r="H82" i="1" s="1" a="1"/>
  <c r="H82" i="1" s="1"/>
  <c r="G83" i="1"/>
  <c r="H83" i="1" s="1" a="1"/>
  <c r="H83" i="1" s="1"/>
  <c r="G84" i="1"/>
  <c r="H84" i="1" s="1" a="1"/>
  <c r="H84" i="1" s="1"/>
  <c r="G85" i="1"/>
  <c r="H85" i="1" s="1" a="1"/>
  <c r="H85" i="1" s="1"/>
  <c r="G86" i="1"/>
  <c r="H86" i="1" s="1" a="1"/>
  <c r="H86" i="1" s="1"/>
  <c r="G87" i="1"/>
  <c r="H87" i="1" s="1" a="1"/>
  <c r="H87" i="1" s="1"/>
  <c r="G88" i="1"/>
  <c r="H88" i="1" s="1" a="1"/>
  <c r="H88" i="1" s="1"/>
  <c r="G89" i="1"/>
  <c r="H89" i="1" s="1" a="1"/>
  <c r="H89" i="1" s="1"/>
  <c r="G90" i="1"/>
  <c r="H90" i="1" s="1" a="1"/>
  <c r="H90" i="1" s="1"/>
  <c r="G91" i="1"/>
  <c r="H91" i="1" s="1" a="1"/>
  <c r="H91" i="1" s="1"/>
  <c r="G92" i="1"/>
  <c r="H92" i="1" s="1" a="1"/>
  <c r="H92" i="1" s="1"/>
  <c r="G93" i="1"/>
  <c r="H93" i="1" s="1" a="1"/>
  <c r="H93" i="1" s="1"/>
  <c r="G94" i="1"/>
  <c r="H94" i="1" s="1" a="1"/>
  <c r="H94" i="1" s="1"/>
  <c r="G95" i="1"/>
  <c r="H95" i="1" s="1" a="1"/>
  <c r="H95" i="1" s="1"/>
  <c r="G96" i="1"/>
  <c r="H96" i="1" s="1" a="1"/>
  <c r="H96" i="1" s="1"/>
  <c r="G97" i="1"/>
  <c r="H97" i="1" s="1" a="1"/>
  <c r="H97" i="1" s="1"/>
  <c r="G98" i="1"/>
  <c r="H98" i="1" s="1" a="1"/>
  <c r="H98" i="1" s="1"/>
  <c r="G99" i="1"/>
  <c r="H99" i="1" s="1" a="1"/>
  <c r="H99" i="1" s="1"/>
  <c r="G100" i="1"/>
  <c r="H100" i="1" s="1" a="1"/>
  <c r="H100" i="1" s="1"/>
  <c r="G101" i="1"/>
  <c r="H101" i="1" s="1" a="1"/>
  <c r="H101" i="1" s="1"/>
  <c r="G102" i="1"/>
  <c r="H102" i="1" s="1" a="1"/>
  <c r="H102" i="1" s="1"/>
  <c r="G103" i="1"/>
  <c r="H103" i="1" s="1" a="1"/>
  <c r="H103" i="1" s="1"/>
  <c r="G104" i="1"/>
  <c r="H104" i="1" s="1" a="1"/>
  <c r="H104" i="1" s="1"/>
  <c r="G105" i="1"/>
  <c r="H105" i="1" s="1" a="1"/>
  <c r="H105" i="1" s="1"/>
  <c r="G106" i="1"/>
  <c r="H106" i="1" s="1" a="1"/>
  <c r="H106" i="1" s="1"/>
  <c r="G107" i="1"/>
  <c r="H107" i="1" s="1" a="1"/>
  <c r="H107" i="1" s="1"/>
  <c r="G108" i="1"/>
  <c r="H108" i="1" s="1" a="1"/>
  <c r="H108" i="1" s="1"/>
  <c r="G109" i="1"/>
  <c r="H109" i="1" s="1" a="1"/>
  <c r="H109" i="1" s="1"/>
  <c r="G110" i="1"/>
  <c r="H110" i="1" s="1" a="1"/>
  <c r="H110" i="1" s="1"/>
  <c r="G111" i="1"/>
  <c r="H111" i="1" s="1" a="1"/>
  <c r="H111" i="1" s="1"/>
  <c r="G112" i="1"/>
  <c r="H112" i="1" s="1" a="1"/>
  <c r="H112" i="1" s="1"/>
  <c r="G113" i="1"/>
  <c r="H113" i="1" s="1" a="1"/>
  <c r="H113" i="1" s="1"/>
  <c r="G114" i="1"/>
  <c r="H114" i="1" s="1" a="1"/>
  <c r="H114" i="1" s="1"/>
  <c r="G115" i="1"/>
  <c r="H115" i="1" s="1" a="1"/>
  <c r="H115" i="1" s="1"/>
  <c r="G116" i="1"/>
  <c r="H116" i="1" s="1" a="1"/>
  <c r="H116" i="1" s="1"/>
  <c r="G117" i="1"/>
  <c r="H117" i="1" s="1" a="1"/>
  <c r="H117" i="1" s="1"/>
  <c r="G118" i="1"/>
  <c r="H118" i="1" s="1" a="1"/>
  <c r="H118" i="1" s="1"/>
  <c r="G119" i="1"/>
  <c r="H119" i="1" s="1" a="1"/>
  <c r="H119" i="1" s="1"/>
  <c r="G120" i="1"/>
  <c r="H120" i="1" s="1" a="1"/>
  <c r="H120" i="1" s="1"/>
  <c r="G121" i="1"/>
  <c r="H121" i="1" s="1" a="1"/>
  <c r="H121" i="1" s="1"/>
  <c r="G122" i="1"/>
  <c r="H122" i="1" s="1" a="1"/>
  <c r="H122" i="1" s="1"/>
  <c r="G123" i="1"/>
  <c r="H123" i="1" s="1" a="1"/>
  <c r="H123" i="1" s="1"/>
  <c r="G124" i="1"/>
  <c r="H124" i="1" s="1" a="1"/>
  <c r="H124" i="1" s="1"/>
  <c r="G125" i="1"/>
  <c r="H125" i="1" s="1" a="1"/>
  <c r="H125" i="1" s="1"/>
  <c r="G126" i="1"/>
  <c r="H126" i="1" s="1" a="1"/>
  <c r="H126" i="1" s="1"/>
  <c r="G127" i="1"/>
  <c r="H127" i="1" s="1" a="1"/>
  <c r="H127" i="1" s="1"/>
  <c r="G128" i="1"/>
  <c r="H128" i="1" s="1" a="1"/>
  <c r="H128" i="1" s="1"/>
  <c r="G129" i="1"/>
  <c r="H129" i="1" s="1" a="1"/>
  <c r="H129" i="1" s="1"/>
  <c r="G130" i="1"/>
  <c r="H130" i="1" s="1" a="1"/>
  <c r="H130" i="1" s="1"/>
  <c r="G131" i="1"/>
  <c r="H131" i="1" s="1" a="1"/>
  <c r="H131" i="1" s="1"/>
  <c r="G132" i="1"/>
  <c r="H132" i="1" s="1" a="1"/>
  <c r="H132" i="1" s="1"/>
  <c r="G133" i="1"/>
  <c r="H133" i="1" s="1" a="1"/>
  <c r="H133" i="1" s="1"/>
  <c r="G134" i="1"/>
  <c r="H134" i="1" s="1" a="1"/>
  <c r="H134" i="1" s="1"/>
  <c r="G135" i="1"/>
  <c r="H135" i="1" s="1" a="1"/>
  <c r="H135" i="1" s="1"/>
  <c r="G136" i="1"/>
  <c r="H136" i="1" s="1" a="1"/>
  <c r="H136" i="1" s="1"/>
  <c r="G137" i="1"/>
  <c r="H137" i="1" s="1" a="1"/>
  <c r="H137" i="1" s="1"/>
  <c r="G138" i="1"/>
  <c r="H138" i="1" s="1" a="1"/>
  <c r="H138" i="1" s="1"/>
  <c r="G139" i="1"/>
  <c r="H139" i="1" s="1" a="1"/>
  <c r="H139" i="1" s="1"/>
  <c r="G140" i="1"/>
  <c r="H140" i="1" s="1" a="1"/>
  <c r="H140" i="1" s="1"/>
  <c r="G141" i="1"/>
  <c r="H141" i="1" s="1" a="1"/>
  <c r="H141" i="1" s="1"/>
  <c r="G142" i="1"/>
  <c r="H142" i="1" s="1" a="1"/>
  <c r="H142" i="1" s="1"/>
  <c r="G143" i="1"/>
  <c r="H143" i="1" s="1" a="1"/>
  <c r="H143" i="1" s="1"/>
  <c r="G144" i="1"/>
  <c r="H144" i="1" s="1" a="1"/>
  <c r="H144" i="1" s="1"/>
  <c r="G145" i="1"/>
  <c r="H145" i="1" s="1" a="1"/>
  <c r="H145" i="1" s="1"/>
  <c r="G146" i="1"/>
  <c r="H146" i="1" s="1" a="1"/>
  <c r="H146" i="1" s="1"/>
  <c r="G147" i="1"/>
  <c r="H147" i="1" s="1" a="1"/>
  <c r="H147" i="1" s="1"/>
  <c r="G148" i="1"/>
  <c r="H148" i="1" s="1" a="1"/>
  <c r="H148" i="1" s="1"/>
  <c r="G149" i="1"/>
  <c r="H149" i="1" s="1" a="1"/>
  <c r="H149" i="1" s="1"/>
  <c r="G150" i="1"/>
  <c r="H150" i="1" s="1" a="1"/>
  <c r="H150" i="1" s="1"/>
  <c r="G151" i="1"/>
  <c r="H151" i="1" s="1" a="1"/>
  <c r="H151" i="1" s="1"/>
  <c r="G152" i="1"/>
  <c r="H152" i="1" s="1" a="1"/>
  <c r="H152" i="1" s="1"/>
  <c r="G153" i="1"/>
  <c r="H153" i="1" s="1" a="1"/>
  <c r="H153" i="1" s="1"/>
  <c r="G154" i="1"/>
  <c r="H154" i="1" s="1" a="1"/>
  <c r="H154" i="1" s="1"/>
  <c r="G155" i="1"/>
  <c r="H155" i="1" s="1" a="1"/>
  <c r="H155" i="1" s="1"/>
  <c r="G156" i="1"/>
  <c r="H156" i="1" s="1" a="1"/>
  <c r="H156" i="1" s="1"/>
  <c r="G157" i="1"/>
  <c r="H157" i="1" s="1" a="1"/>
  <c r="H157" i="1" s="1"/>
  <c r="G158" i="1"/>
  <c r="H158" i="1" s="1" a="1"/>
  <c r="H158" i="1" s="1"/>
  <c r="G159" i="1"/>
  <c r="H159" i="1" s="1" a="1"/>
  <c r="H159" i="1" s="1"/>
  <c r="G160" i="1"/>
  <c r="H160" i="1" s="1" a="1"/>
  <c r="H160" i="1" s="1"/>
  <c r="G161" i="1"/>
  <c r="H161" i="1" s="1" a="1"/>
  <c r="H161" i="1" s="1"/>
  <c r="G162" i="1"/>
  <c r="H162" i="1" s="1" a="1"/>
  <c r="H162" i="1" s="1"/>
  <c r="G163" i="1"/>
  <c r="H163" i="1" s="1" a="1"/>
  <c r="H163" i="1" s="1"/>
  <c r="G164" i="1"/>
  <c r="H164" i="1" s="1" a="1"/>
  <c r="H164" i="1" s="1"/>
  <c r="G165" i="1"/>
  <c r="H165" i="1" s="1" a="1"/>
  <c r="H165" i="1" s="1"/>
  <c r="G166" i="1"/>
  <c r="H166" i="1" s="1" a="1"/>
  <c r="H166" i="1" s="1"/>
  <c r="G167" i="1"/>
  <c r="H167" i="1" s="1" a="1"/>
  <c r="H167" i="1" s="1"/>
  <c r="G168" i="1"/>
  <c r="H168" i="1" s="1" a="1"/>
  <c r="H168" i="1" s="1"/>
  <c r="G169" i="1"/>
  <c r="H169" i="1" s="1" a="1"/>
  <c r="H169" i="1" s="1"/>
  <c r="G170" i="1"/>
  <c r="H170" i="1" s="1" a="1"/>
  <c r="H170" i="1" s="1"/>
  <c r="G171" i="1"/>
  <c r="H171" i="1" s="1" a="1"/>
  <c r="H171" i="1" s="1"/>
  <c r="G172" i="1"/>
  <c r="H172" i="1" s="1" a="1"/>
  <c r="H172" i="1" s="1"/>
  <c r="G173" i="1"/>
  <c r="H173" i="1" s="1" a="1"/>
  <c r="H173" i="1" s="1"/>
  <c r="G174" i="1"/>
  <c r="H174" i="1" s="1" a="1"/>
  <c r="H174" i="1" s="1"/>
  <c r="G175" i="1"/>
  <c r="H175" i="1" s="1" a="1"/>
  <c r="H175" i="1" s="1"/>
  <c r="G176" i="1"/>
  <c r="H176" i="1" s="1" a="1"/>
  <c r="H176" i="1" s="1"/>
  <c r="G177" i="1"/>
  <c r="H177" i="1" s="1" a="1"/>
  <c r="H177" i="1" s="1"/>
  <c r="G178" i="1"/>
  <c r="H178" i="1" s="1" a="1"/>
  <c r="H178" i="1" s="1"/>
  <c r="G179" i="1"/>
  <c r="H179" i="1" s="1" a="1"/>
  <c r="H179" i="1" s="1"/>
  <c r="G180" i="1"/>
  <c r="H180" i="1" s="1" a="1"/>
  <c r="H180" i="1" s="1"/>
  <c r="G181" i="1"/>
  <c r="H181" i="1" s="1" a="1"/>
  <c r="H181" i="1" s="1"/>
  <c r="G182" i="1"/>
  <c r="H182" i="1" s="1" a="1"/>
  <c r="H182" i="1" s="1"/>
  <c r="G183" i="1"/>
  <c r="H183" i="1" s="1" a="1"/>
  <c r="H183" i="1" s="1"/>
  <c r="G184" i="1"/>
  <c r="H184" i="1" s="1" a="1"/>
  <c r="H184" i="1" s="1"/>
  <c r="G185" i="1"/>
  <c r="H185" i="1" s="1" a="1"/>
  <c r="H185" i="1" s="1"/>
  <c r="G186" i="1"/>
  <c r="H186" i="1" s="1" a="1"/>
  <c r="H186" i="1" s="1"/>
  <c r="G187" i="1"/>
  <c r="H187" i="1" s="1" a="1"/>
  <c r="H187" i="1" s="1"/>
  <c r="G188" i="1"/>
  <c r="H188" i="1" s="1" a="1"/>
  <c r="H188" i="1" s="1"/>
  <c r="G189" i="1"/>
  <c r="H189" i="1" s="1" a="1"/>
  <c r="H189" i="1" s="1"/>
  <c r="G190" i="1"/>
  <c r="H190" i="1" s="1" a="1"/>
  <c r="H190" i="1" s="1"/>
  <c r="G191" i="1"/>
  <c r="H191" i="1" s="1" a="1"/>
  <c r="H191" i="1" s="1"/>
  <c r="G192" i="1"/>
  <c r="H192" i="1" s="1" a="1"/>
  <c r="H192" i="1" s="1"/>
  <c r="G193" i="1"/>
  <c r="H193" i="1" s="1" a="1"/>
  <c r="H193" i="1" s="1"/>
  <c r="G194" i="1"/>
  <c r="H194" i="1" s="1" a="1"/>
  <c r="H194" i="1" s="1"/>
  <c r="G195" i="1"/>
  <c r="H195" i="1" s="1" a="1"/>
  <c r="H195" i="1" s="1"/>
  <c r="G196" i="1"/>
  <c r="H196" i="1" s="1" a="1"/>
  <c r="H196" i="1" s="1"/>
  <c r="G197" i="1"/>
  <c r="H197" i="1" s="1" a="1"/>
  <c r="H197" i="1" s="1"/>
  <c r="G198" i="1"/>
  <c r="H198" i="1" s="1" a="1"/>
  <c r="H198" i="1" s="1"/>
  <c r="G199" i="1"/>
  <c r="H199" i="1" s="1" a="1"/>
  <c r="H199" i="1" s="1"/>
  <c r="G200" i="1"/>
  <c r="H200" i="1" s="1" a="1"/>
  <c r="H200" i="1" s="1"/>
  <c r="G201" i="1"/>
  <c r="H201" i="1" s="1" a="1"/>
  <c r="H201" i="1" s="1"/>
  <c r="G202" i="1"/>
  <c r="H202" i="1" s="1" a="1"/>
  <c r="H202" i="1" s="1"/>
  <c r="G203" i="1"/>
  <c r="H203" i="1" s="1" a="1"/>
  <c r="H203" i="1" s="1"/>
  <c r="G204" i="1"/>
  <c r="H204" i="1" s="1" a="1"/>
  <c r="H204" i="1" s="1"/>
  <c r="G205" i="1"/>
  <c r="H205" i="1" s="1" a="1"/>
  <c r="H205" i="1" s="1"/>
  <c r="G206" i="1"/>
  <c r="H206" i="1" s="1" a="1"/>
  <c r="H206" i="1" s="1"/>
  <c r="G207" i="1"/>
  <c r="H207" i="1" s="1" a="1"/>
  <c r="H207" i="1" s="1"/>
  <c r="G208" i="1"/>
  <c r="H208" i="1" s="1" a="1"/>
  <c r="H208" i="1" s="1"/>
  <c r="G209" i="1"/>
  <c r="H209" i="1" s="1" a="1"/>
  <c r="H209" i="1" s="1"/>
  <c r="G210" i="1"/>
  <c r="H210" i="1" s="1" a="1"/>
  <c r="H210" i="1" s="1"/>
  <c r="G211" i="1"/>
  <c r="H211" i="1" s="1" a="1"/>
  <c r="H211" i="1" s="1"/>
  <c r="G212" i="1"/>
  <c r="H212" i="1" s="1" a="1"/>
  <c r="H212" i="1" s="1"/>
  <c r="G213" i="1"/>
  <c r="H213" i="1" s="1" a="1"/>
  <c r="H213" i="1" s="1"/>
  <c r="G214" i="1"/>
  <c r="H214" i="1" s="1" a="1"/>
  <c r="H214" i="1" s="1"/>
  <c r="G215" i="1"/>
  <c r="H215" i="1" s="1" a="1"/>
  <c r="H215" i="1" s="1"/>
  <c r="G216" i="1"/>
  <c r="H216" i="1" s="1" a="1"/>
  <c r="H216" i="1" s="1"/>
  <c r="G217" i="1"/>
  <c r="H217" i="1" s="1" a="1"/>
  <c r="H217" i="1" s="1"/>
  <c r="G218" i="1"/>
  <c r="H218" i="1" s="1" a="1"/>
  <c r="H218" i="1" s="1"/>
  <c r="G219" i="1"/>
  <c r="H219" i="1" s="1" a="1"/>
  <c r="H219" i="1" s="1"/>
  <c r="G220" i="1"/>
  <c r="H220" i="1" s="1" a="1"/>
  <c r="H220" i="1" s="1"/>
  <c r="G221" i="1"/>
  <c r="H221" i="1" s="1" a="1"/>
  <c r="H221" i="1" s="1"/>
  <c r="G222" i="1"/>
  <c r="H222" i="1" s="1" a="1"/>
  <c r="H222" i="1" s="1"/>
  <c r="G223" i="1"/>
  <c r="H223" i="1" s="1" a="1"/>
  <c r="H223" i="1" s="1"/>
  <c r="G224" i="1"/>
  <c r="H224" i="1" s="1" a="1"/>
  <c r="H224" i="1" s="1"/>
  <c r="G225" i="1"/>
  <c r="H225" i="1" s="1" a="1"/>
  <c r="H225" i="1" s="1"/>
  <c r="G226" i="1"/>
  <c r="H226" i="1" s="1" a="1"/>
  <c r="H226" i="1" s="1"/>
  <c r="G227" i="1"/>
  <c r="H227" i="1" s="1" a="1"/>
  <c r="H227" i="1" s="1"/>
  <c r="G228" i="1"/>
  <c r="H228" i="1" s="1" a="1"/>
  <c r="H228" i="1" s="1"/>
  <c r="G229" i="1"/>
  <c r="H229" i="1" s="1" a="1"/>
  <c r="H229" i="1" s="1"/>
  <c r="G230" i="1"/>
  <c r="H230" i="1" s="1" a="1"/>
  <c r="H230" i="1" s="1"/>
  <c r="G231" i="1"/>
  <c r="H231" i="1" s="1" a="1"/>
  <c r="H231" i="1" s="1"/>
  <c r="G232" i="1"/>
  <c r="H232" i="1" s="1" a="1"/>
  <c r="H232" i="1" s="1"/>
  <c r="G233" i="1"/>
  <c r="H233" i="1" s="1" a="1"/>
  <c r="H233" i="1" s="1"/>
  <c r="G234" i="1"/>
  <c r="H234" i="1" s="1" a="1"/>
  <c r="H234" i="1" s="1"/>
  <c r="G235" i="1"/>
  <c r="H235" i="1" s="1" a="1"/>
  <c r="H235" i="1" s="1"/>
  <c r="G236" i="1"/>
  <c r="H236" i="1" s="1" a="1"/>
  <c r="H236" i="1" s="1"/>
  <c r="G237" i="1"/>
  <c r="H237" i="1" s="1" a="1"/>
  <c r="H237" i="1" s="1"/>
  <c r="G238" i="1"/>
  <c r="H238" i="1" s="1" a="1"/>
  <c r="H238" i="1" s="1"/>
  <c r="G239" i="1"/>
  <c r="H239" i="1" s="1" a="1"/>
  <c r="H239" i="1" s="1"/>
  <c r="G240" i="1"/>
  <c r="H240" i="1" s="1" a="1"/>
  <c r="H240" i="1" s="1"/>
  <c r="G241" i="1"/>
  <c r="H241" i="1" s="1" a="1"/>
  <c r="H241" i="1" s="1"/>
  <c r="G242" i="1"/>
  <c r="H242" i="1" s="1" a="1"/>
  <c r="H242" i="1" s="1"/>
  <c r="G243" i="1"/>
  <c r="H243" i="1" s="1" a="1"/>
  <c r="H243" i="1" s="1"/>
  <c r="G244" i="1"/>
  <c r="H244" i="1" s="1" a="1"/>
  <c r="H244" i="1" s="1"/>
  <c r="G245" i="1"/>
  <c r="H245" i="1" s="1" a="1"/>
  <c r="H245" i="1" s="1"/>
  <c r="G246" i="1"/>
  <c r="H246" i="1" s="1" a="1"/>
  <c r="H246" i="1" s="1"/>
  <c r="G247" i="1"/>
  <c r="H247" i="1" s="1" a="1"/>
  <c r="H247" i="1" s="1"/>
  <c r="G248" i="1"/>
  <c r="H248" i="1" s="1" a="1"/>
  <c r="H248" i="1" s="1"/>
  <c r="G249" i="1"/>
  <c r="H249" i="1" s="1" a="1"/>
  <c r="H249" i="1" s="1"/>
  <c r="G250" i="1"/>
  <c r="H250" i="1" s="1" a="1"/>
  <c r="H250" i="1" s="1"/>
  <c r="G251" i="1"/>
  <c r="H251" i="1" s="1" a="1"/>
  <c r="H251" i="1" s="1"/>
  <c r="G252" i="1"/>
  <c r="H252" i="1" s="1" a="1"/>
  <c r="H252" i="1" s="1"/>
  <c r="G253" i="1"/>
  <c r="H253" i="1" s="1" a="1"/>
  <c r="H253" i="1" s="1"/>
  <c r="G254" i="1"/>
  <c r="H254" i="1" s="1" a="1"/>
  <c r="H254" i="1" s="1"/>
  <c r="G255" i="1"/>
  <c r="H255" i="1" s="1" a="1"/>
  <c r="H255" i="1" s="1"/>
  <c r="G256" i="1"/>
  <c r="H256" i="1" s="1" a="1"/>
  <c r="H256" i="1" s="1"/>
  <c r="G257" i="1"/>
  <c r="H257" i="1" s="1" a="1"/>
  <c r="H257" i="1" s="1"/>
  <c r="G258" i="1"/>
  <c r="H258" i="1" s="1" a="1"/>
  <c r="H258" i="1" s="1"/>
  <c r="G259" i="1"/>
  <c r="H259" i="1" s="1" a="1"/>
  <c r="H259" i="1" s="1"/>
  <c r="G260" i="1"/>
  <c r="H260" i="1" s="1" a="1"/>
  <c r="H260" i="1" s="1"/>
  <c r="G261" i="1"/>
  <c r="H261" i="1" s="1" a="1"/>
  <c r="H261" i="1" s="1"/>
  <c r="G262" i="1"/>
  <c r="H262" i="1" s="1" a="1"/>
  <c r="H262" i="1" s="1"/>
  <c r="G263" i="1"/>
  <c r="H263" i="1" s="1" a="1"/>
  <c r="H263" i="1" s="1"/>
  <c r="G264" i="1"/>
  <c r="H264" i="1" s="1" a="1"/>
  <c r="H264" i="1" s="1"/>
  <c r="G265" i="1"/>
  <c r="H265" i="1" s="1" a="1"/>
  <c r="H265" i="1" s="1"/>
  <c r="G266" i="1"/>
  <c r="H266" i="1" s="1" a="1"/>
  <c r="H266" i="1" s="1"/>
  <c r="G267" i="1"/>
  <c r="H267" i="1" s="1" a="1"/>
  <c r="H267" i="1" s="1"/>
  <c r="G268" i="1"/>
  <c r="H268" i="1" s="1" a="1"/>
  <c r="H268" i="1" s="1"/>
  <c r="G269" i="1"/>
  <c r="H269" i="1" s="1" a="1"/>
  <c r="H269" i="1" s="1"/>
  <c r="G270" i="1"/>
  <c r="H270" i="1" s="1" a="1"/>
  <c r="H270" i="1" s="1"/>
  <c r="G271" i="1"/>
  <c r="H271" i="1" s="1" a="1"/>
  <c r="H271" i="1" s="1"/>
  <c r="G272" i="1"/>
  <c r="H272" i="1" s="1" a="1"/>
  <c r="H272" i="1" s="1"/>
  <c r="G273" i="1"/>
  <c r="H273" i="1" s="1" a="1"/>
  <c r="H273" i="1" s="1"/>
  <c r="G274" i="1"/>
  <c r="H274" i="1" s="1" a="1"/>
  <c r="H274" i="1" s="1"/>
  <c r="G275" i="1"/>
  <c r="H275" i="1" s="1" a="1"/>
  <c r="H275" i="1" s="1"/>
  <c r="G276" i="1"/>
  <c r="H276" i="1" s="1" a="1"/>
  <c r="H276" i="1" s="1"/>
  <c r="G277" i="1"/>
  <c r="H277" i="1" s="1" a="1"/>
  <c r="H277" i="1" s="1"/>
  <c r="G278" i="1"/>
  <c r="H278" i="1" s="1" a="1"/>
  <c r="H278" i="1" s="1"/>
  <c r="G279" i="1"/>
  <c r="H279" i="1" s="1" a="1"/>
  <c r="H279" i="1" s="1"/>
  <c r="G280" i="1"/>
  <c r="H280" i="1" s="1" a="1"/>
  <c r="H280" i="1" s="1"/>
  <c r="G281" i="1"/>
  <c r="H281" i="1" s="1" a="1"/>
  <c r="H281" i="1" s="1"/>
  <c r="G282" i="1"/>
  <c r="H282" i="1" s="1" a="1"/>
  <c r="H282" i="1" s="1"/>
  <c r="G283" i="1"/>
  <c r="H283" i="1" s="1" a="1"/>
  <c r="H283" i="1" s="1"/>
  <c r="G284" i="1"/>
  <c r="H284" i="1" s="1" a="1"/>
  <c r="H284" i="1" s="1"/>
  <c r="G285" i="1"/>
  <c r="H285" i="1" s="1" a="1"/>
  <c r="H285" i="1" s="1"/>
  <c r="G286" i="1"/>
  <c r="H286" i="1" s="1" a="1"/>
  <c r="H286" i="1" s="1"/>
  <c r="G287" i="1"/>
  <c r="H287" i="1" s="1" a="1"/>
  <c r="H287" i="1" s="1"/>
  <c r="G288" i="1"/>
  <c r="H288" i="1" s="1" a="1"/>
  <c r="H288" i="1" s="1"/>
  <c r="G289" i="1"/>
  <c r="H289" i="1" s="1" a="1"/>
  <c r="H289" i="1" s="1"/>
  <c r="G290" i="1"/>
  <c r="H290" i="1" s="1" a="1"/>
  <c r="H290" i="1" s="1"/>
  <c r="G291" i="1"/>
  <c r="H291" i="1" s="1" a="1"/>
  <c r="H291" i="1" s="1"/>
  <c r="G292" i="1"/>
  <c r="H292" i="1" s="1" a="1"/>
  <c r="H292" i="1" s="1"/>
  <c r="G293" i="1"/>
  <c r="H293" i="1" s="1" a="1"/>
  <c r="H293" i="1" s="1"/>
  <c r="G294" i="1"/>
  <c r="H294" i="1" s="1" a="1"/>
  <c r="H294" i="1" s="1"/>
  <c r="G295" i="1"/>
  <c r="H295" i="1" s="1" a="1"/>
  <c r="H295" i="1" s="1"/>
  <c r="G296" i="1"/>
  <c r="H296" i="1" s="1" a="1"/>
  <c r="H296" i="1" s="1"/>
  <c r="G297" i="1"/>
  <c r="H297" i="1" s="1" a="1"/>
  <c r="H297" i="1" s="1"/>
  <c r="G298" i="1"/>
  <c r="H298" i="1" s="1" a="1"/>
  <c r="H298" i="1" s="1"/>
  <c r="G299" i="1"/>
  <c r="H299" i="1" s="1" a="1"/>
  <c r="H299" i="1" s="1"/>
  <c r="G300" i="1"/>
  <c r="H300" i="1" s="1" a="1"/>
  <c r="H300" i="1" s="1"/>
  <c r="G301" i="1"/>
  <c r="H301" i="1" s="1" a="1"/>
  <c r="H301" i="1" s="1"/>
  <c r="G302" i="1"/>
  <c r="H302" i="1" s="1" a="1"/>
  <c r="H302" i="1" s="1"/>
  <c r="G303" i="1"/>
  <c r="H303" i="1" s="1" a="1"/>
  <c r="H303" i="1" s="1"/>
  <c r="G304" i="1"/>
  <c r="H304" i="1" s="1" a="1"/>
  <c r="H304" i="1" s="1"/>
  <c r="G305" i="1"/>
  <c r="H305" i="1" s="1" a="1"/>
  <c r="H305" i="1" s="1"/>
  <c r="G306" i="1"/>
  <c r="H306" i="1" s="1" a="1"/>
  <c r="H306" i="1" s="1"/>
  <c r="G307" i="1"/>
  <c r="H307" i="1" s="1" a="1"/>
  <c r="H307" i="1" s="1"/>
  <c r="G308" i="1"/>
  <c r="H308" i="1" s="1" a="1"/>
  <c r="H308" i="1" s="1"/>
  <c r="G309" i="1"/>
  <c r="H309" i="1" s="1" a="1"/>
  <c r="H309" i="1" s="1"/>
  <c r="G310" i="1"/>
  <c r="H310" i="1" s="1" a="1"/>
  <c r="H310" i="1" s="1"/>
  <c r="G311" i="1"/>
  <c r="H311" i="1" s="1" a="1"/>
  <c r="H311" i="1" s="1"/>
  <c r="G312" i="1"/>
  <c r="H312" i="1" s="1" a="1"/>
  <c r="H312" i="1" s="1"/>
  <c r="G313" i="1"/>
  <c r="H313" i="1" s="1" a="1"/>
  <c r="H313" i="1" s="1"/>
  <c r="G314" i="1"/>
  <c r="H314" i="1" s="1" a="1"/>
  <c r="H314" i="1" s="1"/>
  <c r="G315" i="1"/>
  <c r="H315" i="1" s="1" a="1"/>
  <c r="H315" i="1" s="1"/>
  <c r="G316" i="1"/>
  <c r="H316" i="1" s="1" a="1"/>
  <c r="H316" i="1" s="1"/>
  <c r="G317" i="1"/>
  <c r="H317" i="1" s="1" a="1"/>
  <c r="H317" i="1" s="1"/>
  <c r="G318" i="1"/>
  <c r="H318" i="1" s="1" a="1"/>
  <c r="H318" i="1" s="1"/>
  <c r="G319" i="1"/>
  <c r="H319" i="1" s="1" a="1"/>
  <c r="H319" i="1" s="1"/>
  <c r="G320" i="1"/>
  <c r="H320" i="1" s="1" a="1"/>
  <c r="H320" i="1" s="1"/>
  <c r="G321" i="1"/>
  <c r="H321" i="1" s="1" a="1"/>
  <c r="H321" i="1" s="1"/>
  <c r="G322" i="1"/>
  <c r="H322" i="1" s="1" a="1"/>
  <c r="H322" i="1" s="1"/>
  <c r="G323" i="1"/>
  <c r="H323" i="1" s="1" a="1"/>
  <c r="H323" i="1" s="1"/>
  <c r="G324" i="1"/>
  <c r="H324" i="1" s="1" a="1"/>
  <c r="H324" i="1" s="1"/>
  <c r="G325" i="1"/>
  <c r="H325" i="1" s="1" a="1"/>
  <c r="H325" i="1" s="1"/>
  <c r="G326" i="1"/>
  <c r="H326" i="1" s="1" a="1"/>
  <c r="H326" i="1" s="1"/>
  <c r="G327" i="1"/>
  <c r="H327" i="1" s="1" a="1"/>
  <c r="H327" i="1" s="1"/>
  <c r="G328" i="1"/>
  <c r="H328" i="1" s="1" a="1"/>
  <c r="H328" i="1" s="1"/>
  <c r="G329" i="1"/>
  <c r="H329" i="1" s="1" a="1"/>
  <c r="H329" i="1" s="1"/>
  <c r="G330" i="1"/>
  <c r="H330" i="1" s="1" a="1"/>
  <c r="H330" i="1" s="1"/>
  <c r="G331" i="1"/>
  <c r="H331" i="1" s="1" a="1"/>
  <c r="H331" i="1" s="1"/>
  <c r="G332" i="1"/>
  <c r="H332" i="1" s="1" a="1"/>
  <c r="H332" i="1" s="1"/>
  <c r="G333" i="1"/>
  <c r="H333" i="1" s="1" a="1"/>
  <c r="H333" i="1" s="1"/>
  <c r="G334" i="1"/>
  <c r="H334" i="1" s="1" a="1"/>
  <c r="H334" i="1" s="1"/>
  <c r="G335" i="1"/>
  <c r="H335" i="1" s="1" a="1"/>
  <c r="H335" i="1" s="1"/>
  <c r="G336" i="1"/>
  <c r="H336" i="1" s="1" a="1"/>
  <c r="H336" i="1" s="1"/>
  <c r="G337" i="1"/>
  <c r="H337" i="1" s="1" a="1"/>
  <c r="H337" i="1" s="1"/>
  <c r="G338" i="1"/>
  <c r="H338" i="1" s="1" a="1"/>
  <c r="H338" i="1" s="1"/>
  <c r="G339" i="1"/>
  <c r="H339" i="1" s="1" a="1"/>
  <c r="H339" i="1" s="1"/>
  <c r="G340" i="1"/>
  <c r="H340" i="1" s="1" a="1"/>
  <c r="H340" i="1" s="1"/>
  <c r="G341" i="1"/>
  <c r="H341" i="1" s="1" a="1"/>
  <c r="H341" i="1" s="1"/>
  <c r="G342" i="1"/>
  <c r="H342" i="1" s="1" a="1"/>
  <c r="H342" i="1" s="1"/>
  <c r="G343" i="1"/>
  <c r="H343" i="1" s="1" a="1"/>
  <c r="H343" i="1" s="1"/>
  <c r="G344" i="1"/>
  <c r="H344" i="1" s="1" a="1"/>
  <c r="H344" i="1" s="1"/>
  <c r="G345" i="1"/>
  <c r="H345" i="1" s="1" a="1"/>
  <c r="H345" i="1" s="1"/>
  <c r="G346" i="1"/>
  <c r="H346" i="1" s="1" a="1"/>
  <c r="H346" i="1" s="1"/>
  <c r="G347" i="1"/>
  <c r="H347" i="1" s="1" a="1"/>
  <c r="H347" i="1" s="1"/>
  <c r="G348" i="1"/>
  <c r="H348" i="1" s="1" a="1"/>
  <c r="H348" i="1" s="1"/>
  <c r="G349" i="1"/>
  <c r="H349" i="1" s="1" a="1"/>
  <c r="H349" i="1" s="1"/>
  <c r="G350" i="1"/>
  <c r="H350" i="1" s="1" a="1"/>
  <c r="H350" i="1" s="1"/>
  <c r="G351" i="1"/>
  <c r="H351" i="1" s="1" a="1"/>
  <c r="H351" i="1" s="1"/>
  <c r="G352" i="1"/>
  <c r="H352" i="1" s="1" a="1"/>
  <c r="H352" i="1" s="1"/>
  <c r="G353" i="1"/>
  <c r="H353" i="1" s="1" a="1"/>
  <c r="H353" i="1" s="1"/>
  <c r="G354" i="1"/>
  <c r="H354" i="1" s="1" a="1"/>
  <c r="H354" i="1" s="1"/>
  <c r="G355" i="1"/>
  <c r="H355" i="1" s="1" a="1"/>
  <c r="H355" i="1" s="1"/>
  <c r="G356" i="1"/>
  <c r="H356" i="1" s="1" a="1"/>
  <c r="H356" i="1" s="1"/>
  <c r="G357" i="1"/>
  <c r="H357" i="1" s="1" a="1"/>
  <c r="H357" i="1" s="1"/>
  <c r="G358" i="1"/>
  <c r="H358" i="1" s="1" a="1"/>
  <c r="H358" i="1" s="1"/>
  <c r="G359" i="1"/>
  <c r="H359" i="1" s="1" a="1"/>
  <c r="H359" i="1" s="1"/>
  <c r="G360" i="1"/>
  <c r="H360" i="1" s="1" a="1"/>
  <c r="H360" i="1" s="1"/>
  <c r="G361" i="1"/>
  <c r="H361" i="1" s="1" a="1"/>
  <c r="H361" i="1" s="1"/>
  <c r="G362" i="1"/>
  <c r="H362" i="1" s="1" a="1"/>
  <c r="H362" i="1" s="1"/>
  <c r="G363" i="1"/>
  <c r="H363" i="1" s="1" a="1"/>
  <c r="H363" i="1" s="1"/>
  <c r="G364" i="1"/>
  <c r="H364" i="1" s="1" a="1"/>
  <c r="H364" i="1" s="1"/>
  <c r="G365" i="1"/>
  <c r="H365" i="1" s="1" a="1"/>
  <c r="H365" i="1" s="1"/>
  <c r="G366" i="1"/>
  <c r="H366" i="1" s="1" a="1"/>
  <c r="H366" i="1" s="1"/>
  <c r="G367" i="1"/>
  <c r="H367" i="1" s="1" a="1"/>
  <c r="H367" i="1" s="1"/>
  <c r="G368" i="1"/>
  <c r="H368" i="1" s="1" a="1"/>
  <c r="H368" i="1" s="1"/>
  <c r="G369" i="1"/>
  <c r="H369" i="1" s="1" a="1"/>
  <c r="H369" i="1" s="1"/>
  <c r="G370" i="1"/>
  <c r="H370" i="1" s="1" a="1"/>
  <c r="H370" i="1" s="1"/>
  <c r="G371" i="1"/>
  <c r="H371" i="1" s="1" a="1"/>
  <c r="H371" i="1" s="1"/>
  <c r="G372" i="1"/>
  <c r="H372" i="1" s="1" a="1"/>
  <c r="H372" i="1" s="1"/>
  <c r="G373" i="1"/>
  <c r="H373" i="1" s="1" a="1"/>
  <c r="H373" i="1" s="1"/>
  <c r="G374" i="1"/>
  <c r="H374" i="1" s="1" a="1"/>
  <c r="H374" i="1" s="1"/>
  <c r="G375" i="1"/>
  <c r="H375" i="1" s="1" a="1"/>
  <c r="H375" i="1" s="1"/>
  <c r="G376" i="1"/>
  <c r="H376" i="1" s="1" a="1"/>
  <c r="H376" i="1" s="1"/>
  <c r="G377" i="1"/>
  <c r="H377" i="1" s="1" a="1"/>
  <c r="H377" i="1" s="1"/>
  <c r="G378" i="1"/>
  <c r="H378" i="1" s="1" a="1"/>
  <c r="H378" i="1" s="1"/>
  <c r="G379" i="1"/>
  <c r="H379" i="1" s="1" a="1"/>
  <c r="H379" i="1" s="1"/>
  <c r="G380" i="1"/>
  <c r="H380" i="1" s="1" a="1"/>
  <c r="H380" i="1" s="1"/>
  <c r="G381" i="1"/>
  <c r="H381" i="1" s="1" a="1"/>
  <c r="H381" i="1" s="1"/>
  <c r="G382" i="1"/>
  <c r="H382" i="1" s="1" a="1"/>
  <c r="H382" i="1" s="1"/>
  <c r="G383" i="1"/>
  <c r="H383" i="1" s="1" a="1"/>
  <c r="H383" i="1" s="1"/>
  <c r="G384" i="1"/>
  <c r="H384" i="1" s="1" a="1"/>
  <c r="H384" i="1" s="1"/>
  <c r="G385" i="1"/>
  <c r="H385" i="1" s="1" a="1"/>
  <c r="H385" i="1" s="1"/>
  <c r="G386" i="1"/>
  <c r="H386" i="1" s="1" a="1"/>
  <c r="H386" i="1" s="1"/>
  <c r="G387" i="1"/>
  <c r="H387" i="1" s="1" a="1"/>
  <c r="H387" i="1" s="1"/>
  <c r="G388" i="1"/>
  <c r="H388" i="1" s="1" a="1"/>
  <c r="H388" i="1" s="1"/>
  <c r="G389" i="1"/>
  <c r="H389" i="1" s="1" a="1"/>
  <c r="H389" i="1" s="1"/>
  <c r="G390" i="1"/>
  <c r="H390" i="1" s="1" a="1"/>
  <c r="H390" i="1" s="1"/>
  <c r="G391" i="1"/>
  <c r="H391" i="1" s="1" a="1"/>
  <c r="H391" i="1" s="1"/>
  <c r="G392" i="1"/>
  <c r="H392" i="1" s="1" a="1"/>
  <c r="H392" i="1" s="1"/>
  <c r="G393" i="1"/>
  <c r="H393" i="1" s="1" a="1"/>
  <c r="H393" i="1" s="1"/>
  <c r="G394" i="1"/>
  <c r="H394" i="1" s="1" a="1"/>
  <c r="H394" i="1" s="1"/>
  <c r="G395" i="1"/>
  <c r="H395" i="1" s="1" a="1"/>
  <c r="H395" i="1" s="1"/>
  <c r="G396" i="1"/>
  <c r="H396" i="1" s="1" a="1"/>
  <c r="H396" i="1" s="1"/>
  <c r="G397" i="1"/>
  <c r="H397" i="1" s="1" a="1"/>
  <c r="H397" i="1" s="1"/>
  <c r="G398" i="1"/>
  <c r="H398" i="1" s="1" a="1"/>
  <c r="H398" i="1" s="1"/>
  <c r="G399" i="1"/>
  <c r="H399" i="1" s="1" a="1"/>
  <c r="H399" i="1" s="1"/>
  <c r="G400" i="1"/>
  <c r="H400" i="1" s="1" a="1"/>
  <c r="H400" i="1" s="1"/>
  <c r="G401" i="1"/>
  <c r="H401" i="1" s="1" a="1"/>
  <c r="H401" i="1" s="1"/>
  <c r="G402" i="1"/>
  <c r="H402" i="1" s="1" a="1"/>
  <c r="H402" i="1" s="1"/>
  <c r="G403" i="1"/>
  <c r="H403" i="1" s="1" a="1"/>
  <c r="H403" i="1" s="1"/>
  <c r="G404" i="1"/>
  <c r="H404" i="1" s="1" a="1"/>
  <c r="H404" i="1" s="1"/>
  <c r="G405" i="1"/>
  <c r="H405" i="1" s="1" a="1"/>
  <c r="H405" i="1" s="1"/>
  <c r="G406" i="1"/>
  <c r="H406" i="1" s="1" a="1"/>
  <c r="H406" i="1" s="1"/>
  <c r="G407" i="1"/>
  <c r="H407" i="1" s="1" a="1"/>
  <c r="H407" i="1" s="1"/>
  <c r="G408" i="1"/>
  <c r="H408" i="1" s="1" a="1"/>
  <c r="H408" i="1" s="1"/>
  <c r="G409" i="1"/>
  <c r="H409" i="1" s="1" a="1"/>
  <c r="H409" i="1" s="1"/>
  <c r="G410" i="1"/>
  <c r="H410" i="1" s="1" a="1"/>
  <c r="H410" i="1" s="1"/>
  <c r="G411" i="1"/>
  <c r="H411" i="1" s="1" a="1"/>
  <c r="H411" i="1" s="1"/>
  <c r="G412" i="1"/>
  <c r="H412" i="1" s="1" a="1"/>
  <c r="H412" i="1" s="1"/>
  <c r="G413" i="1"/>
  <c r="H413" i="1" s="1" a="1"/>
  <c r="H413" i="1" s="1"/>
  <c r="G414" i="1"/>
  <c r="H414" i="1" s="1" a="1"/>
  <c r="H414" i="1" s="1"/>
  <c r="G415" i="1"/>
  <c r="H415" i="1" s="1" a="1"/>
  <c r="H415" i="1" s="1"/>
  <c r="G416" i="1"/>
  <c r="H416" i="1" s="1" a="1"/>
  <c r="H416" i="1" s="1"/>
  <c r="G417" i="1"/>
  <c r="H417" i="1" s="1" a="1"/>
  <c r="H417" i="1" s="1"/>
  <c r="G418" i="1"/>
  <c r="H418" i="1" s="1" a="1"/>
  <c r="H418" i="1" s="1"/>
  <c r="G419" i="1"/>
  <c r="H419" i="1" s="1" a="1"/>
  <c r="H419" i="1" s="1"/>
  <c r="G420" i="1"/>
  <c r="H420" i="1" s="1" a="1"/>
  <c r="H420" i="1" s="1"/>
  <c r="G421" i="1"/>
  <c r="H421" i="1" s="1" a="1"/>
  <c r="H421" i="1" s="1"/>
  <c r="G422" i="1"/>
  <c r="H422" i="1" s="1" a="1"/>
  <c r="H422" i="1" s="1"/>
  <c r="G423" i="1"/>
  <c r="H423" i="1" s="1" a="1"/>
  <c r="H423" i="1" s="1"/>
  <c r="G424" i="1"/>
  <c r="H424" i="1" s="1" a="1"/>
  <c r="H424" i="1" s="1"/>
  <c r="G425" i="1"/>
  <c r="H425" i="1" s="1" a="1"/>
  <c r="H425" i="1" s="1"/>
  <c r="G426" i="1"/>
  <c r="H426" i="1" s="1" a="1"/>
  <c r="H426" i="1" s="1"/>
  <c r="G427" i="1"/>
  <c r="H427" i="1" s="1" a="1"/>
  <c r="H427" i="1" s="1"/>
  <c r="G428" i="1"/>
  <c r="H428" i="1" s="1" a="1"/>
  <c r="H428" i="1" s="1"/>
  <c r="G429" i="1"/>
  <c r="H429" i="1" s="1" a="1"/>
  <c r="H429" i="1" s="1"/>
  <c r="G430" i="1"/>
  <c r="H430" i="1" s="1" a="1"/>
  <c r="H430" i="1" s="1"/>
  <c r="G431" i="1"/>
  <c r="H431" i="1" s="1" a="1"/>
  <c r="H431" i="1" s="1"/>
  <c r="G432" i="1"/>
  <c r="H432" i="1" s="1" a="1"/>
  <c r="H432" i="1" s="1"/>
  <c r="G433" i="1"/>
  <c r="H433" i="1" s="1" a="1"/>
  <c r="H433" i="1" s="1"/>
  <c r="G434" i="1"/>
  <c r="H434" i="1" s="1" a="1"/>
  <c r="H434" i="1" s="1"/>
  <c r="G435" i="1"/>
  <c r="H435" i="1" s="1" a="1"/>
  <c r="H435" i="1" s="1"/>
  <c r="G436" i="1"/>
  <c r="H436" i="1" s="1" a="1"/>
  <c r="H436" i="1" s="1"/>
  <c r="G437" i="1"/>
  <c r="H437" i="1" s="1" a="1"/>
  <c r="H437" i="1" s="1"/>
  <c r="G438" i="1"/>
  <c r="H438" i="1" s="1" a="1"/>
  <c r="H438" i="1" s="1"/>
  <c r="G439" i="1"/>
  <c r="H439" i="1" s="1" a="1"/>
  <c r="H439" i="1" s="1"/>
  <c r="G440" i="1"/>
  <c r="H440" i="1" s="1" a="1"/>
  <c r="H440" i="1" s="1"/>
  <c r="G441" i="1"/>
  <c r="H441" i="1" s="1" a="1"/>
  <c r="H441" i="1" s="1"/>
  <c r="G442" i="1"/>
  <c r="H442" i="1" s="1" a="1"/>
  <c r="H442" i="1" s="1"/>
  <c r="G443" i="1"/>
  <c r="H443" i="1" s="1" a="1"/>
  <c r="H443" i="1" s="1"/>
  <c r="G444" i="1"/>
  <c r="H444" i="1" s="1" a="1"/>
  <c r="H444" i="1" s="1"/>
  <c r="G445" i="1"/>
  <c r="H445" i="1" s="1" a="1"/>
  <c r="H445" i="1" s="1"/>
  <c r="G446" i="1"/>
  <c r="H446" i="1" s="1" a="1"/>
  <c r="H446" i="1" s="1"/>
  <c r="G447" i="1"/>
  <c r="H447" i="1" s="1" a="1"/>
  <c r="H447" i="1" s="1"/>
  <c r="G448" i="1"/>
  <c r="H448" i="1" s="1" a="1"/>
  <c r="H448" i="1" s="1"/>
  <c r="G449" i="1"/>
  <c r="H449" i="1" s="1" a="1"/>
  <c r="H449" i="1" s="1"/>
  <c r="G450" i="1"/>
  <c r="H450" i="1" s="1" a="1"/>
  <c r="H450" i="1" s="1"/>
  <c r="G451" i="1"/>
  <c r="H451" i="1" s="1" a="1"/>
  <c r="H451" i="1" s="1"/>
  <c r="G452" i="1"/>
  <c r="H452" i="1" s="1" a="1"/>
  <c r="H452" i="1" s="1"/>
  <c r="G453" i="1"/>
  <c r="H453" i="1" s="1" a="1"/>
  <c r="H453" i="1" s="1"/>
  <c r="G454" i="1"/>
  <c r="H454" i="1" s="1" a="1"/>
  <c r="H454" i="1" s="1"/>
  <c r="G455" i="1"/>
  <c r="H455" i="1" s="1" a="1"/>
  <c r="H455" i="1" s="1"/>
  <c r="G456" i="1"/>
  <c r="H456" i="1" s="1" a="1"/>
  <c r="H456" i="1" s="1"/>
  <c r="G457" i="1"/>
  <c r="H457" i="1" s="1" a="1"/>
  <c r="H457" i="1" s="1"/>
  <c r="G458" i="1"/>
  <c r="H458" i="1" s="1" a="1"/>
  <c r="H458" i="1" s="1"/>
  <c r="G459" i="1"/>
  <c r="H459" i="1" s="1" a="1"/>
  <c r="H459" i="1" s="1"/>
  <c r="G460" i="1"/>
  <c r="H460" i="1" s="1" a="1"/>
  <c r="H460" i="1" s="1"/>
  <c r="G461" i="1"/>
  <c r="H461" i="1" s="1" a="1"/>
  <c r="H461" i="1" s="1"/>
  <c r="G462" i="1"/>
  <c r="H462" i="1" s="1" a="1"/>
  <c r="H462" i="1" s="1"/>
  <c r="G463" i="1"/>
  <c r="H463" i="1" s="1" a="1"/>
  <c r="H463" i="1" s="1"/>
  <c r="G464" i="1"/>
  <c r="H464" i="1" s="1" a="1"/>
  <c r="H464" i="1" s="1"/>
  <c r="G465" i="1"/>
  <c r="H465" i="1" s="1" a="1"/>
  <c r="H465" i="1" s="1"/>
  <c r="G466" i="1"/>
  <c r="H466" i="1" s="1" a="1"/>
  <c r="H466" i="1" s="1"/>
  <c r="G467" i="1"/>
  <c r="H467" i="1" s="1" a="1"/>
  <c r="H467" i="1" s="1"/>
  <c r="G468" i="1"/>
  <c r="H468" i="1" s="1" a="1"/>
  <c r="H468" i="1" s="1"/>
  <c r="G469" i="1"/>
  <c r="H469" i="1" s="1" a="1"/>
  <c r="H469" i="1" s="1"/>
  <c r="G470" i="1"/>
  <c r="H470" i="1" s="1" a="1"/>
  <c r="H470" i="1" s="1"/>
  <c r="G471" i="1"/>
  <c r="H471" i="1" s="1" a="1"/>
  <c r="H471" i="1" s="1"/>
  <c r="G472" i="1"/>
  <c r="H472" i="1" s="1" a="1"/>
  <c r="H472" i="1" s="1"/>
  <c r="G473" i="1"/>
  <c r="H473" i="1" s="1" a="1"/>
  <c r="H473" i="1" s="1"/>
  <c r="G474" i="1"/>
  <c r="H474" i="1" s="1" a="1"/>
  <c r="H474" i="1" s="1"/>
  <c r="G475" i="1"/>
  <c r="H475" i="1" s="1" a="1"/>
  <c r="H475" i="1" s="1"/>
  <c r="G476" i="1"/>
  <c r="H476" i="1" s="1" a="1"/>
  <c r="H476" i="1" s="1"/>
  <c r="G477" i="1"/>
  <c r="H477" i="1" s="1" a="1"/>
  <c r="H477" i="1" s="1"/>
  <c r="G478" i="1"/>
  <c r="H478" i="1" s="1" a="1"/>
  <c r="H478" i="1" s="1"/>
  <c r="G479" i="1"/>
  <c r="H479" i="1" s="1" a="1"/>
  <c r="H479" i="1" s="1"/>
  <c r="G480" i="1"/>
  <c r="H480" i="1" s="1" a="1"/>
  <c r="H480" i="1" s="1"/>
  <c r="G481" i="1"/>
  <c r="H481" i="1" s="1" a="1"/>
  <c r="H481" i="1" s="1"/>
  <c r="G482" i="1"/>
  <c r="H482" i="1" s="1" a="1"/>
  <c r="H482" i="1" s="1"/>
  <c r="G483" i="1"/>
  <c r="H483" i="1" s="1" a="1"/>
  <c r="H483" i="1" s="1"/>
  <c r="G484" i="1"/>
  <c r="H484" i="1" s="1" a="1"/>
  <c r="H484" i="1" s="1"/>
  <c r="G485" i="1"/>
  <c r="H485" i="1" s="1" a="1"/>
  <c r="H485" i="1" s="1"/>
  <c r="G486" i="1"/>
  <c r="H486" i="1" s="1" a="1"/>
  <c r="H486" i="1" s="1"/>
  <c r="G487" i="1"/>
  <c r="H487" i="1" s="1" a="1"/>
  <c r="H487" i="1" s="1"/>
  <c r="G488" i="1"/>
  <c r="H488" i="1" s="1" a="1"/>
  <c r="H488" i="1" s="1"/>
  <c r="G489" i="1"/>
  <c r="H489" i="1" s="1" a="1"/>
  <c r="H489" i="1" s="1"/>
  <c r="G490" i="1"/>
  <c r="H490" i="1" s="1" a="1"/>
  <c r="H490" i="1" s="1"/>
  <c r="G491" i="1"/>
  <c r="H491" i="1" s="1" a="1"/>
  <c r="H491" i="1" s="1"/>
  <c r="G492" i="1"/>
  <c r="H492" i="1" s="1" a="1"/>
  <c r="H492" i="1" s="1"/>
  <c r="G493" i="1"/>
  <c r="H493" i="1" s="1" a="1"/>
  <c r="H493" i="1" s="1"/>
  <c r="G494" i="1"/>
  <c r="H494" i="1" s="1" a="1"/>
  <c r="H494" i="1" s="1"/>
  <c r="G495" i="1"/>
  <c r="H495" i="1" s="1" a="1"/>
  <c r="H495" i="1" s="1"/>
  <c r="G496" i="1"/>
  <c r="H496" i="1" s="1" a="1"/>
  <c r="H496" i="1" s="1"/>
  <c r="G497" i="1"/>
  <c r="H497" i="1" s="1" a="1"/>
  <c r="H497" i="1" s="1"/>
  <c r="G498" i="1"/>
  <c r="H498" i="1" s="1" a="1"/>
  <c r="H498" i="1" s="1"/>
  <c r="G499" i="1"/>
  <c r="H499" i="1" s="1" a="1"/>
  <c r="H499" i="1" s="1"/>
  <c r="G500" i="1"/>
  <c r="H500" i="1" s="1" a="1"/>
  <c r="H500" i="1" s="1"/>
  <c r="G501" i="1"/>
  <c r="H501" i="1" s="1" a="1"/>
  <c r="H501" i="1" s="1"/>
  <c r="G502" i="1"/>
  <c r="H502" i="1" s="1" a="1"/>
  <c r="H502" i="1" s="1"/>
  <c r="G503" i="1"/>
  <c r="H503" i="1" s="1" a="1"/>
  <c r="H503" i="1" s="1"/>
  <c r="G504" i="1"/>
  <c r="H504" i="1" s="1" a="1"/>
  <c r="H504" i="1" s="1"/>
  <c r="G505" i="1"/>
  <c r="H505" i="1" s="1" a="1"/>
  <c r="H505" i="1" s="1"/>
  <c r="G506" i="1"/>
  <c r="H506" i="1" s="1" a="1"/>
  <c r="H506" i="1" s="1"/>
  <c r="G507" i="1"/>
  <c r="H507" i="1" s="1" a="1"/>
  <c r="H507" i="1" s="1"/>
  <c r="G508" i="1"/>
  <c r="H508" i="1" s="1" a="1"/>
  <c r="H508" i="1" s="1"/>
  <c r="G509" i="1"/>
  <c r="H509" i="1" s="1" a="1"/>
  <c r="H509" i="1" s="1"/>
  <c r="G510" i="1"/>
  <c r="H510" i="1" s="1" a="1"/>
  <c r="H510" i="1" s="1"/>
  <c r="G511" i="1"/>
  <c r="H511" i="1" s="1" a="1"/>
  <c r="H511" i="1" s="1"/>
  <c r="G512" i="1"/>
  <c r="H512" i="1" s="1" a="1"/>
  <c r="H512" i="1" s="1"/>
  <c r="G513" i="1"/>
  <c r="H513" i="1" s="1" a="1"/>
  <c r="H513" i="1" s="1"/>
  <c r="G514" i="1"/>
  <c r="H514" i="1" s="1" a="1"/>
  <c r="H514" i="1" s="1"/>
  <c r="G515" i="1"/>
  <c r="H515" i="1" s="1" a="1"/>
  <c r="H515" i="1" s="1"/>
  <c r="G516" i="1"/>
  <c r="H516" i="1" s="1" a="1"/>
  <c r="H516" i="1" s="1"/>
  <c r="G517" i="1"/>
  <c r="H517" i="1" s="1" a="1"/>
  <c r="H517" i="1" s="1"/>
  <c r="G518" i="1"/>
  <c r="H518" i="1" s="1" a="1"/>
  <c r="H518" i="1" s="1"/>
  <c r="G519" i="1"/>
  <c r="H519" i="1" s="1" a="1"/>
  <c r="H519" i="1" s="1"/>
  <c r="G520" i="1"/>
  <c r="H520" i="1" s="1" a="1"/>
  <c r="H520" i="1" s="1"/>
  <c r="G521" i="1"/>
  <c r="H521" i="1" s="1" a="1"/>
  <c r="H521" i="1" s="1"/>
  <c r="G522" i="1"/>
  <c r="H522" i="1" s="1" a="1"/>
  <c r="H522" i="1" s="1"/>
  <c r="G523" i="1"/>
  <c r="H523" i="1" s="1" a="1"/>
  <c r="H523" i="1" s="1"/>
  <c r="G524" i="1"/>
  <c r="H524" i="1" s="1" a="1"/>
  <c r="H524" i="1" s="1"/>
  <c r="G525" i="1"/>
  <c r="H525" i="1" s="1" a="1"/>
  <c r="H525" i="1" s="1"/>
  <c r="G526" i="1"/>
  <c r="H526" i="1" s="1" a="1"/>
  <c r="H526" i="1" s="1"/>
  <c r="G527" i="1"/>
  <c r="H527" i="1" s="1" a="1"/>
  <c r="H527" i="1" s="1"/>
  <c r="G528" i="1"/>
  <c r="H528" i="1" s="1" a="1"/>
  <c r="H528" i="1" s="1"/>
  <c r="G529" i="1"/>
  <c r="H529" i="1" s="1" a="1"/>
  <c r="H529" i="1" s="1"/>
  <c r="G530" i="1"/>
  <c r="H530" i="1" s="1" a="1"/>
  <c r="H530" i="1" s="1"/>
  <c r="G531" i="1"/>
  <c r="H531" i="1" s="1" a="1"/>
  <c r="H531" i="1" s="1"/>
  <c r="G532" i="1"/>
  <c r="H532" i="1" s="1" a="1"/>
  <c r="H532" i="1" s="1"/>
  <c r="G533" i="1"/>
  <c r="H533" i="1" s="1" a="1"/>
  <c r="H533" i="1" s="1"/>
  <c r="G534" i="1"/>
  <c r="H534" i="1" s="1" a="1"/>
  <c r="H534" i="1" s="1"/>
  <c r="G535" i="1"/>
  <c r="H535" i="1" s="1" a="1"/>
  <c r="H535" i="1" s="1"/>
  <c r="G536" i="1"/>
  <c r="H536" i="1" s="1" a="1"/>
  <c r="H536" i="1" s="1"/>
  <c r="G537" i="1"/>
  <c r="H537" i="1" s="1" a="1"/>
  <c r="H537" i="1" s="1"/>
  <c r="G538" i="1"/>
  <c r="H538" i="1" s="1" a="1"/>
  <c r="H538" i="1" s="1"/>
  <c r="G539" i="1"/>
  <c r="H539" i="1" s="1" a="1"/>
  <c r="H539" i="1" s="1"/>
  <c r="G540" i="1"/>
  <c r="H540" i="1" s="1" a="1"/>
  <c r="H540" i="1" s="1"/>
  <c r="G541" i="1"/>
  <c r="H541" i="1" s="1" a="1"/>
  <c r="H541" i="1" s="1"/>
  <c r="G542" i="1"/>
  <c r="H542" i="1" s="1" a="1"/>
  <c r="H542" i="1" s="1"/>
  <c r="G543" i="1"/>
  <c r="H543" i="1" s="1" a="1"/>
  <c r="H543" i="1" s="1"/>
  <c r="G544" i="1"/>
  <c r="H544" i="1" s="1" a="1"/>
  <c r="H544" i="1" s="1"/>
  <c r="G545" i="1"/>
  <c r="H545" i="1" s="1" a="1"/>
  <c r="H545" i="1" s="1"/>
  <c r="G546" i="1"/>
  <c r="H546" i="1" s="1" a="1"/>
  <c r="H546" i="1" s="1"/>
  <c r="G547" i="1"/>
  <c r="H547" i="1" s="1" a="1"/>
  <c r="H547" i="1" s="1"/>
  <c r="G548" i="1"/>
  <c r="H548" i="1" s="1" a="1"/>
  <c r="H548" i="1" s="1"/>
  <c r="G549" i="1"/>
  <c r="H549" i="1" s="1" a="1"/>
  <c r="H549" i="1" s="1"/>
  <c r="G550" i="1"/>
  <c r="H550" i="1" s="1" a="1"/>
  <c r="H550" i="1" s="1"/>
  <c r="G551" i="1"/>
  <c r="H551" i="1" s="1" a="1"/>
  <c r="H551" i="1" s="1"/>
  <c r="G552" i="1"/>
  <c r="H552" i="1" s="1" a="1"/>
  <c r="H552" i="1" s="1"/>
  <c r="G553" i="1"/>
  <c r="H553" i="1" s="1" a="1"/>
  <c r="H553" i="1" s="1"/>
  <c r="G554" i="1"/>
  <c r="H554" i="1" s="1" a="1"/>
  <c r="H554" i="1" s="1"/>
  <c r="G555" i="1"/>
  <c r="H555" i="1" s="1" a="1"/>
  <c r="H555" i="1" s="1"/>
  <c r="G556" i="1"/>
  <c r="H556" i="1" s="1" a="1"/>
  <c r="H556" i="1" s="1"/>
  <c r="G557" i="1"/>
  <c r="H557" i="1" s="1" a="1"/>
  <c r="H557" i="1" s="1"/>
  <c r="G558" i="1"/>
  <c r="H558" i="1" s="1" a="1"/>
  <c r="H558" i="1" s="1"/>
  <c r="G559" i="1"/>
  <c r="H559" i="1" s="1" a="1"/>
  <c r="H559" i="1" s="1"/>
  <c r="G560" i="1"/>
  <c r="H560" i="1" s="1" a="1"/>
  <c r="H560" i="1" s="1"/>
  <c r="G561" i="1"/>
  <c r="H561" i="1" s="1" a="1"/>
  <c r="H561" i="1" s="1"/>
  <c r="G562" i="1"/>
  <c r="H562" i="1" s="1" a="1"/>
  <c r="H562" i="1" s="1"/>
  <c r="G563" i="1"/>
  <c r="H563" i="1" s="1" a="1"/>
  <c r="H563" i="1" s="1"/>
  <c r="G564" i="1"/>
  <c r="H564" i="1" s="1" a="1"/>
  <c r="H564" i="1" s="1"/>
  <c r="G565" i="1"/>
  <c r="H565" i="1" s="1" a="1"/>
  <c r="H565" i="1" s="1"/>
  <c r="G566" i="1"/>
  <c r="H566" i="1" s="1" a="1"/>
  <c r="H566" i="1" s="1"/>
  <c r="G567" i="1"/>
  <c r="H567" i="1" s="1" a="1"/>
  <c r="H567" i="1" s="1"/>
  <c r="G568" i="1"/>
  <c r="H568" i="1" s="1" a="1"/>
  <c r="H568" i="1" s="1"/>
  <c r="G569" i="1"/>
  <c r="H569" i="1" s="1" a="1"/>
  <c r="H569" i="1" s="1"/>
  <c r="G570" i="1"/>
  <c r="H570" i="1" s="1" a="1"/>
  <c r="H570" i="1" s="1"/>
  <c r="G571" i="1"/>
  <c r="H571" i="1" s="1" a="1"/>
  <c r="H571" i="1" s="1"/>
  <c r="G572" i="1"/>
  <c r="H572" i="1" s="1" a="1"/>
  <c r="H572" i="1" s="1"/>
  <c r="G573" i="1"/>
  <c r="H573" i="1" s="1" a="1"/>
  <c r="H573" i="1" s="1"/>
  <c r="G574" i="1"/>
  <c r="H574" i="1" s="1" a="1"/>
  <c r="H574" i="1" s="1"/>
  <c r="G575" i="1"/>
  <c r="H575" i="1" s="1" a="1"/>
  <c r="H575" i="1" s="1"/>
  <c r="G576" i="1"/>
  <c r="H576" i="1" s="1" a="1"/>
  <c r="H576" i="1" s="1"/>
  <c r="G577" i="1"/>
  <c r="H577" i="1" s="1" a="1"/>
  <c r="H577" i="1" s="1"/>
  <c r="G578" i="1"/>
  <c r="H578" i="1" s="1" a="1"/>
  <c r="H578" i="1" s="1"/>
  <c r="G579" i="1"/>
  <c r="H579" i="1" s="1" a="1"/>
  <c r="H579" i="1" s="1"/>
  <c r="G580" i="1"/>
  <c r="H580" i="1" s="1" a="1"/>
  <c r="H580" i="1" s="1"/>
  <c r="G581" i="1"/>
  <c r="H581" i="1" s="1" a="1"/>
  <c r="H581" i="1" s="1"/>
  <c r="G582" i="1"/>
  <c r="H582" i="1" s="1" a="1"/>
  <c r="H582" i="1" s="1"/>
  <c r="G583" i="1"/>
  <c r="H583" i="1" s="1" a="1"/>
  <c r="H583" i="1" s="1"/>
  <c r="G584" i="1"/>
  <c r="H584" i="1" s="1" a="1"/>
  <c r="H584" i="1" s="1"/>
  <c r="G585" i="1"/>
  <c r="H585" i="1" s="1" a="1"/>
  <c r="H585" i="1" s="1"/>
  <c r="G586" i="1"/>
  <c r="H586" i="1" s="1" a="1"/>
  <c r="H586" i="1" s="1"/>
  <c r="G587" i="1"/>
  <c r="H587" i="1" s="1" a="1"/>
  <c r="H587" i="1" s="1"/>
  <c r="G588" i="1"/>
  <c r="H588" i="1" s="1" a="1"/>
  <c r="H588" i="1" s="1"/>
  <c r="G589" i="1"/>
  <c r="H589" i="1" s="1" a="1"/>
  <c r="H589" i="1" s="1"/>
  <c r="G590" i="1"/>
  <c r="H590" i="1" s="1" a="1"/>
  <c r="H590" i="1" s="1"/>
  <c r="G591" i="1"/>
  <c r="H591" i="1" s="1" a="1"/>
  <c r="H591" i="1" s="1"/>
  <c r="G592" i="1"/>
  <c r="H592" i="1" s="1" a="1"/>
  <c r="H592" i="1" s="1"/>
  <c r="G593" i="1"/>
  <c r="H593" i="1" s="1" a="1"/>
  <c r="H593" i="1" s="1"/>
  <c r="G594" i="1"/>
  <c r="H594" i="1" s="1" a="1"/>
  <c r="H594" i="1" s="1"/>
  <c r="G595" i="1"/>
  <c r="H595" i="1" s="1" a="1"/>
  <c r="H595" i="1" s="1"/>
  <c r="G596" i="1"/>
  <c r="H596" i="1" s="1" a="1"/>
  <c r="H596" i="1" s="1"/>
  <c r="G597" i="1"/>
  <c r="H597" i="1" s="1" a="1"/>
  <c r="H597" i="1" s="1"/>
  <c r="G598" i="1"/>
  <c r="H598" i="1" s="1" a="1"/>
  <c r="H598" i="1" s="1"/>
  <c r="G599" i="1"/>
  <c r="H599" i="1" s="1" a="1"/>
  <c r="H599" i="1" s="1"/>
  <c r="G600" i="1"/>
  <c r="H600" i="1" s="1" a="1"/>
  <c r="H600" i="1" s="1"/>
  <c r="G601" i="1"/>
  <c r="H601" i="1" s="1" a="1"/>
  <c r="H601" i="1" s="1"/>
  <c r="G602" i="1"/>
  <c r="H602" i="1" s="1" a="1"/>
  <c r="H602" i="1" s="1"/>
  <c r="G603" i="1"/>
  <c r="H603" i="1" s="1" a="1"/>
  <c r="H603" i="1" s="1"/>
  <c r="G604" i="1"/>
  <c r="H604" i="1" s="1" a="1"/>
  <c r="H604" i="1" s="1"/>
  <c r="G605" i="1"/>
  <c r="H605" i="1" s="1" a="1"/>
  <c r="H605" i="1" s="1"/>
  <c r="G606" i="1"/>
  <c r="H606" i="1" s="1" a="1"/>
  <c r="H606" i="1" s="1"/>
  <c r="G607" i="1"/>
  <c r="H607" i="1" s="1" a="1"/>
  <c r="H607" i="1" s="1"/>
  <c r="G608" i="1"/>
  <c r="H608" i="1" s="1" a="1"/>
  <c r="H608" i="1" s="1"/>
  <c r="G609" i="1"/>
  <c r="H609" i="1" s="1" a="1"/>
  <c r="H609" i="1" s="1"/>
  <c r="G610" i="1"/>
  <c r="H610" i="1" s="1" a="1"/>
  <c r="H610" i="1" s="1"/>
  <c r="G611" i="1"/>
  <c r="H611" i="1" s="1" a="1"/>
  <c r="H611" i="1" s="1"/>
  <c r="G612" i="1"/>
  <c r="H612" i="1" s="1" a="1"/>
  <c r="H612" i="1" s="1"/>
  <c r="G613" i="1"/>
  <c r="H613" i="1" s="1" a="1"/>
  <c r="H613" i="1" s="1"/>
  <c r="G614" i="1"/>
  <c r="H614" i="1" s="1" a="1"/>
  <c r="H614" i="1" s="1"/>
  <c r="G615" i="1"/>
  <c r="H615" i="1" s="1" a="1"/>
  <c r="H615" i="1" s="1"/>
  <c r="G616" i="1"/>
  <c r="H616" i="1" s="1" a="1"/>
  <c r="H616" i="1" s="1"/>
  <c r="G617" i="1"/>
  <c r="H617" i="1" s="1" a="1"/>
  <c r="H617" i="1" s="1"/>
  <c r="G618" i="1"/>
  <c r="H618" i="1" s="1" a="1"/>
  <c r="H618" i="1" s="1"/>
  <c r="G619" i="1"/>
  <c r="H619" i="1" s="1" a="1"/>
  <c r="H619" i="1" s="1"/>
  <c r="G620" i="1"/>
  <c r="H620" i="1" s="1" a="1"/>
  <c r="H620" i="1" s="1"/>
  <c r="G621" i="1"/>
  <c r="H621" i="1" s="1" a="1"/>
  <c r="H621" i="1" s="1"/>
  <c r="G622" i="1"/>
  <c r="H622" i="1" s="1" a="1"/>
  <c r="H622" i="1" s="1"/>
  <c r="G623" i="1"/>
  <c r="H623" i="1" s="1" a="1"/>
  <c r="H623" i="1" s="1"/>
  <c r="G624" i="1"/>
  <c r="H624" i="1" s="1" a="1"/>
  <c r="H624" i="1" s="1"/>
  <c r="G625" i="1"/>
  <c r="H625" i="1" s="1" a="1"/>
  <c r="H625" i="1" s="1"/>
  <c r="G626" i="1"/>
  <c r="H626" i="1" s="1" a="1"/>
  <c r="H626" i="1" s="1"/>
  <c r="G627" i="1"/>
  <c r="H627" i="1" s="1" a="1"/>
  <c r="H627" i="1" s="1"/>
  <c r="G628" i="1"/>
  <c r="H628" i="1" s="1" a="1"/>
  <c r="H628" i="1" s="1"/>
  <c r="G629" i="1"/>
  <c r="H629" i="1" s="1" a="1"/>
  <c r="H629" i="1" s="1"/>
  <c r="G630" i="1"/>
  <c r="H630" i="1" s="1" a="1"/>
  <c r="H630" i="1" s="1"/>
  <c r="G631" i="1"/>
  <c r="H631" i="1" s="1" a="1"/>
  <c r="H631" i="1" s="1"/>
  <c r="G632" i="1"/>
  <c r="H632" i="1" s="1" a="1"/>
  <c r="H632" i="1" s="1"/>
  <c r="G633" i="1"/>
  <c r="H633" i="1" s="1" a="1"/>
  <c r="H633" i="1" s="1"/>
  <c r="G634" i="1"/>
  <c r="H634" i="1" s="1" a="1"/>
  <c r="H634" i="1" s="1"/>
  <c r="G635" i="1"/>
  <c r="H635" i="1" s="1" a="1"/>
  <c r="H635" i="1" s="1"/>
  <c r="G636" i="1"/>
  <c r="H636" i="1" s="1" a="1"/>
  <c r="H636" i="1" s="1"/>
  <c r="G637" i="1"/>
  <c r="H637" i="1" s="1" a="1"/>
  <c r="H637" i="1" s="1"/>
  <c r="G638" i="1"/>
  <c r="H638" i="1" s="1" a="1"/>
  <c r="H638" i="1" s="1"/>
  <c r="G639" i="1"/>
  <c r="H639" i="1" s="1" a="1"/>
  <c r="H639" i="1" s="1"/>
  <c r="G640" i="1"/>
  <c r="H640" i="1" s="1" a="1"/>
  <c r="H640" i="1" s="1"/>
  <c r="G641" i="1"/>
  <c r="H641" i="1" s="1" a="1"/>
  <c r="H641" i="1" s="1"/>
  <c r="G642" i="1"/>
  <c r="H642" i="1" s="1" a="1"/>
  <c r="H642" i="1" s="1"/>
  <c r="G643" i="1"/>
  <c r="H643" i="1" s="1" a="1"/>
  <c r="H643" i="1" s="1"/>
  <c r="G644" i="1"/>
  <c r="H644" i="1" s="1" a="1"/>
  <c r="H644" i="1" s="1"/>
  <c r="G645" i="1"/>
  <c r="H645" i="1" s="1" a="1"/>
  <c r="H645" i="1" s="1"/>
  <c r="G646" i="1"/>
  <c r="H646" i="1" s="1" a="1"/>
  <c r="H646" i="1" s="1"/>
  <c r="G647" i="1"/>
  <c r="H647" i="1" s="1" a="1"/>
  <c r="H647" i="1" s="1"/>
  <c r="G648" i="1"/>
  <c r="H648" i="1" s="1" a="1"/>
  <c r="H648" i="1" s="1"/>
  <c r="G649" i="1"/>
  <c r="H649" i="1" s="1" a="1"/>
  <c r="H649" i="1" s="1"/>
  <c r="G650" i="1"/>
  <c r="H650" i="1" s="1" a="1"/>
  <c r="H650" i="1" s="1"/>
  <c r="G651" i="1"/>
  <c r="H651" i="1" s="1" a="1"/>
  <c r="H651" i="1" s="1"/>
  <c r="G652" i="1"/>
  <c r="H652" i="1" s="1" a="1"/>
  <c r="H652" i="1" s="1"/>
  <c r="G653" i="1"/>
  <c r="H653" i="1" s="1" a="1"/>
  <c r="H653" i="1" s="1"/>
  <c r="G654" i="1"/>
  <c r="H654" i="1" s="1" a="1"/>
  <c r="H654" i="1" s="1"/>
  <c r="G655" i="1"/>
  <c r="H655" i="1" s="1" a="1"/>
  <c r="H655" i="1" s="1"/>
  <c r="G656" i="1"/>
  <c r="H656" i="1" s="1" a="1"/>
  <c r="H656" i="1" s="1"/>
  <c r="G657" i="1"/>
  <c r="H657" i="1" s="1" a="1"/>
  <c r="H657" i="1" s="1"/>
  <c r="G658" i="1"/>
  <c r="H658" i="1" s="1" a="1"/>
  <c r="H658" i="1" s="1"/>
  <c r="G659" i="1"/>
  <c r="H659" i="1" s="1" a="1"/>
  <c r="H659" i="1" s="1"/>
  <c r="G660" i="1"/>
  <c r="H660" i="1" s="1" a="1"/>
  <c r="H660" i="1" s="1"/>
  <c r="G661" i="1"/>
  <c r="H661" i="1" s="1" a="1"/>
  <c r="H661" i="1" s="1"/>
  <c r="G662" i="1"/>
  <c r="H662" i="1" s="1" a="1"/>
  <c r="H662" i="1" s="1"/>
  <c r="G663" i="1"/>
  <c r="H663" i="1" s="1" a="1"/>
  <c r="H663" i="1" s="1"/>
  <c r="G664" i="1"/>
  <c r="H664" i="1" s="1" a="1"/>
  <c r="H664" i="1" s="1"/>
  <c r="G665" i="1"/>
  <c r="H665" i="1" s="1" a="1"/>
  <c r="H665" i="1" s="1"/>
  <c r="G666" i="1"/>
  <c r="H666" i="1" s="1" a="1"/>
  <c r="H666" i="1" s="1"/>
  <c r="G667" i="1"/>
  <c r="H667" i="1" s="1" a="1"/>
  <c r="H667" i="1" s="1"/>
  <c r="G668" i="1"/>
  <c r="H668" i="1" s="1" a="1"/>
  <c r="H668" i="1" s="1"/>
  <c r="G669" i="1"/>
  <c r="H669" i="1" s="1" a="1"/>
  <c r="H669" i="1" s="1"/>
  <c r="G670" i="1"/>
  <c r="H670" i="1" s="1" a="1"/>
  <c r="H670" i="1" s="1"/>
  <c r="G671" i="1"/>
  <c r="H671" i="1" s="1" a="1"/>
  <c r="H671" i="1" s="1"/>
  <c r="G672" i="1"/>
  <c r="H672" i="1" s="1" a="1"/>
  <c r="H672" i="1" s="1"/>
  <c r="G673" i="1"/>
  <c r="H673" i="1" s="1" a="1"/>
  <c r="H673" i="1" s="1"/>
  <c r="G674" i="1"/>
  <c r="H674" i="1" s="1" a="1"/>
  <c r="H674" i="1" s="1"/>
  <c r="G675" i="1"/>
  <c r="H675" i="1" s="1" a="1"/>
  <c r="H675" i="1" s="1"/>
  <c r="G676" i="1"/>
  <c r="H676" i="1" s="1" a="1"/>
  <c r="H676" i="1" s="1"/>
  <c r="G677" i="1"/>
  <c r="H677" i="1" s="1" a="1"/>
  <c r="H677" i="1" s="1"/>
  <c r="G678" i="1"/>
  <c r="H678" i="1" s="1" a="1"/>
  <c r="H678" i="1" s="1"/>
  <c r="G679" i="1"/>
  <c r="H679" i="1" s="1" a="1"/>
  <c r="H679" i="1" s="1"/>
  <c r="G680" i="1"/>
  <c r="H680" i="1" s="1" a="1"/>
  <c r="H680" i="1" s="1"/>
  <c r="G681" i="1"/>
  <c r="H681" i="1" s="1" a="1"/>
  <c r="H681" i="1" s="1"/>
  <c r="G682" i="1"/>
  <c r="H682" i="1" s="1" a="1"/>
  <c r="H682" i="1" s="1"/>
  <c r="G683" i="1"/>
  <c r="H683" i="1" s="1" a="1"/>
  <c r="H683" i="1" s="1"/>
  <c r="G684" i="1"/>
  <c r="H684" i="1" s="1" a="1"/>
  <c r="H684" i="1" s="1"/>
  <c r="G685" i="1"/>
  <c r="H685" i="1" s="1" a="1"/>
  <c r="H685" i="1" s="1"/>
  <c r="G686" i="1"/>
  <c r="H686" i="1" s="1" a="1"/>
  <c r="H686" i="1" s="1"/>
  <c r="G687" i="1"/>
  <c r="H687" i="1" s="1" a="1"/>
  <c r="H687" i="1" s="1"/>
  <c r="G688" i="1"/>
  <c r="H688" i="1" s="1" a="1"/>
  <c r="H688" i="1" s="1"/>
  <c r="G689" i="1"/>
  <c r="H689" i="1" s="1" a="1"/>
  <c r="H689" i="1" s="1"/>
  <c r="G690" i="1"/>
  <c r="H690" i="1" s="1" a="1"/>
  <c r="H690" i="1"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E8" i="2"/>
  <c r="E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<sst xmlns="http://schemas.openxmlformats.org/spreadsheetml/2006/main" count="4246" uniqueCount="921">
  <si>
    <t>No</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</si>
  <si>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</si>
  <si>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</si>
  <si>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</si>
  <si>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</si>
  <si>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</si>
  <si>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</si>
  <si>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</si>
  <si>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</si>
  <si>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</si>
  <si>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</si>
  <si>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</si>
  <si>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</si>
  <si>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</si>
  <si>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</si>
  <si>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</si>
  <si>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</si>
  <si>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Quality Control</t>
  </si>
  <si>
    <t>Egypt</t>
  </si>
  <si>
    <t>West</t>
  </si>
  <si>
    <t>Omar</t>
  </si>
  <si>
    <t>Hishan</t>
  </si>
  <si>
    <t>Saudi Arabia</t>
  </si>
  <si>
    <t>Ailya</t>
  </si>
  <si>
    <t>Sharaf</t>
  </si>
  <si>
    <t>Major Mfg Projects</t>
  </si>
  <si>
    <t>Lwiy</t>
  </si>
  <si>
    <t>Qbany</t>
  </si>
  <si>
    <t>Manufacturing</t>
  </si>
  <si>
    <t>United Arab Emirates</t>
  </si>
  <si>
    <t>Ahmad</t>
  </si>
  <si>
    <t>Bikri</t>
  </si>
  <si>
    <t>Male</t>
  </si>
  <si>
    <t>Muhamad</t>
  </si>
  <si>
    <t>Zueitr</t>
  </si>
  <si>
    <t>Product Development</t>
  </si>
  <si>
    <t>North</t>
  </si>
  <si>
    <t>Iin</t>
  </si>
  <si>
    <t>Alhalaliu</t>
  </si>
  <si>
    <t>Sales</t>
  </si>
  <si>
    <t>Alaya</t>
  </si>
  <si>
    <t>Account Management</t>
  </si>
  <si>
    <t>Main</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</si>
  <si>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</si>
  <si>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</si>
  <si>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</si>
  <si>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</si>
  <si>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</si>
  <si>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</si>
  <si>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</si>
  <si>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</si>
  <si>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</si>
  <si>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</si>
  <si>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</si>
  <si>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</si>
  <si>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</si>
  <si>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</si>
  <si>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</si>
  <si>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</si>
  <si>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</si>
  <si>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</si>
  <si>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</si>
  <si>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</si>
  <si>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</si>
  <si>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</si>
  <si>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</si>
  <si>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</si>
  <si>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</si>
  <si>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</si>
  <si>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</si>
  <si>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</si>
  <si>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</si>
  <si>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</si>
  <si>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</si>
  <si>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</si>
  <si>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</si>
  <si>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</si>
  <si>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</si>
  <si>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</si>
  <si>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</si>
  <si>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</si>
  <si>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</si>
  <si>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</si>
  <si>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</si>
  <si>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</si>
  <si>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</si>
  <si>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</si>
  <si>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</si>
  <si>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</si>
  <si>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</si>
  <si>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</si>
  <si>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</si>
  <si>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</si>
  <si>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</si>
  <si>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</si>
  <si>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</si>
  <si>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</si>
  <si>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</si>
  <si>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</si>
  <si>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</si>
  <si>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</si>
  <si>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</si>
  <si>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</si>
  <si>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</si>
  <si>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</si>
  <si>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</si>
  <si>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</si>
  <si>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</si>
  <si>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</si>
  <si>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</si>
  <si>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</si>
  <si>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</si>
  <si>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</si>
  <si>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</si>
  <si>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</si>
  <si>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</si>
  <si>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</si>
  <si>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</si>
  <si>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</si>
  <si>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</si>
  <si>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</si>
  <si>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</si>
  <si>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</si>
  <si>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</si>
  <si>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</si>
  <si>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</si>
  <si>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</si>
  <si>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</si>
  <si>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</si>
  <si>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</si>
  <si>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</si>
  <si>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</si>
  <si>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</si>
  <si>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</si>
  <si>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</si>
  <si>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</si>
  <si>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</si>
  <si>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</si>
  <si>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</si>
  <si>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</si>
  <si>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</si>
  <si>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</si>
  <si>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</si>
  <si>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</si>
  <si>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</si>
  <si>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</si>
  <si>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</si>
  <si>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</si>
  <si>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</si>
  <si>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</si>
  <si>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</si>
  <si>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</si>
  <si>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</si>
  <si>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</si>
  <si>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</si>
  <si>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</si>
  <si>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</si>
  <si>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</si>
  <si>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</si>
  <si>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</si>
  <si>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</si>
  <si>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</si>
  <si>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</si>
  <si>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</si>
  <si>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</si>
  <si>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</si>
  <si>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</si>
  <si>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</si>
  <si>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</si>
  <si>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</si>
  <si>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</si>
  <si>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</si>
  <si>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</si>
  <si>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</si>
  <si>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</si>
  <si>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</si>
  <si>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</si>
  <si>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</si>
  <si>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</si>
  <si>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</si>
  <si>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</si>
  <si>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</si>
  <si>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</si>
  <si>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</si>
  <si>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</si>
  <si>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</si>
  <si>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</si>
  <si>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</si>
  <si>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</si>
  <si>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</si>
  <si>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</si>
  <si>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</si>
  <si>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</si>
  <si>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</si>
  <si>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</si>
  <si>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</si>
  <si>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</si>
  <si>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</si>
  <si>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</si>
  <si>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</si>
  <si>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</si>
  <si>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</si>
  <si>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</si>
  <si>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</si>
  <si>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</si>
  <si>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</si>
  <si>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</si>
  <si>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</si>
  <si>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</si>
  <si>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</si>
  <si>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</si>
  <si>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</si>
  <si>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</si>
  <si>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</si>
  <si>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</si>
  <si>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</si>
  <si>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</si>
  <si>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</si>
  <si>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</si>
  <si>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</si>
  <si>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</si>
  <si>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</si>
  <si>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</si>
  <si>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</si>
  <si>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</si>
  <si>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</si>
  <si>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</si>
  <si>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</si>
  <si>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</si>
  <si>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</si>
  <si>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</si>
  <si>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</si>
  <si>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</si>
  <si>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</si>
  <si>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</si>
  <si>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</si>
  <si>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</si>
  <si>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</si>
  <si>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</si>
  <si>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</si>
  <si>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</si>
  <si>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</si>
  <si>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</si>
  <si>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</si>
  <si>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</si>
  <si>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</si>
  <si>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</si>
  <si>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</si>
  <si>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</si>
  <si>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</si>
  <si>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</si>
  <si>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</si>
  <si>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</si>
  <si>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</si>
  <si>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</si>
  <si>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</si>
  <si>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</si>
  <si>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</si>
  <si>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</si>
  <si>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</si>
  <si>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</si>
  <si>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</si>
  <si>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</si>
  <si>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</si>
  <si>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</si>
  <si>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</si>
  <si>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</si>
  <si>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</si>
  <si>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</si>
  <si>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</si>
  <si>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</si>
  <si>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</si>
  <si>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</si>
  <si>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</si>
  <si>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</si>
  <si>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</si>
  <si>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</si>
  <si>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</si>
  <si>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</si>
  <si>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</si>
  <si>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</si>
  <si>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</si>
  <si>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</si>
  <si>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</si>
  <si>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</si>
  <si>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</si>
  <si>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</si>
  <si>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</si>
  <si>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</si>
  <si>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</si>
  <si>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</si>
  <si>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</si>
  <si>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</si>
  <si>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</si>
  <si>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</si>
  <si>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</si>
  <si>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</si>
  <si>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</si>
  <si>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</si>
  <si>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</si>
  <si>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</si>
  <si>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</si>
  <si>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</si>
  <si>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</si>
  <si>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</si>
  <si>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</si>
  <si>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</si>
  <si>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Female</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</si>
  <si>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</si>
  <si>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</si>
  <si>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</si>
  <si>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</si>
  <si>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</si>
  <si>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</si>
  <si>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</si>
  <si>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</si>
  <si>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</si>
  <si>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</si>
  <si>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</si>
  <si>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</si>
  <si>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</si>
  <si>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</si>
  <si>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</si>
  <si>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</si>
  <si>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</si>
  <si>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</si>
  <si>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</si>
  <si>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</si>
  <si>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</si>
  <si>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</si>
  <si>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</si>
  <si>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</si>
  <si>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</si>
  <si>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</si>
  <si>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</si>
  <si>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</si>
  <si>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</si>
  <si>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</si>
  <si>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</si>
  <si>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</si>
  <si>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</si>
  <si>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</si>
  <si>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</si>
  <si>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</si>
  <si>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</si>
  <si>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</si>
  <si>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</si>
  <si>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</si>
  <si>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</si>
  <si>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</si>
  <si>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</si>
  <si>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</si>
  <si>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</si>
  <si>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</si>
  <si>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</si>
  <si>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</si>
  <si>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</si>
  <si>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</si>
  <si>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</si>
  <si>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</si>
  <si>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</si>
  <si>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</si>
  <si>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</si>
  <si>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</si>
  <si>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</si>
  <si>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</si>
  <si>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</si>
  <si>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</si>
  <si>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</si>
  <si>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</si>
  <si>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</si>
  <si>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</si>
  <si>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</si>
  <si>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</si>
  <si>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</si>
  <si>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</si>
  <si>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</si>
  <si>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</si>
  <si>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</si>
  <si>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</si>
  <si>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</si>
  <si>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</si>
  <si>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</si>
  <si>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</si>
  <si>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</si>
  <si>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</si>
  <si>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</si>
  <si>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</si>
  <si>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</si>
  <si>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</si>
  <si>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</si>
  <si>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</si>
  <si>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</si>
  <si>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</si>
  <si>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</si>
  <si>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</si>
  <si>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</si>
  <si>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</si>
  <si>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</si>
  <si>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</si>
  <si>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</si>
  <si>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</si>
  <si>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</si>
  <si>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</si>
  <si>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</si>
  <si>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</si>
  <si>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</si>
  <si>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</si>
  <si>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</si>
  <si>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</si>
  <si>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</si>
  <si>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</si>
  <si>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</si>
  <si>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</si>
  <si>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</si>
  <si>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</si>
  <si>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</si>
  <si>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</si>
  <si>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</si>
  <si>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</si>
  <si>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</si>
  <si>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</si>
  <si>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</si>
  <si>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</si>
  <si>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</si>
  <si>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</si>
  <si>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</si>
  <si>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</si>
  <si>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</si>
  <si>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</si>
  <si>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</si>
  <si>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</si>
  <si>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</si>
  <si>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</si>
  <si>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</si>
  <si>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</si>
  <si>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</si>
  <si>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</si>
  <si>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</si>
  <si>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</si>
  <si>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</si>
  <si>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</si>
  <si>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</si>
  <si>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</si>
  <si>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</si>
  <si>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</si>
  <si>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</si>
  <si>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</si>
  <si>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</si>
  <si>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</si>
  <si>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</si>
  <si>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</si>
  <si>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</si>
  <si>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</si>
  <si>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</si>
  <si>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</si>
  <si>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</si>
  <si>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</si>
  <si>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</si>
  <si>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</si>
  <si>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</si>
  <si>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</si>
  <si>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</si>
  <si>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</si>
  <si>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</si>
  <si>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</si>
  <si>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</si>
  <si>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</si>
  <si>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</si>
  <si>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</si>
  <si>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</si>
  <si>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</si>
  <si>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</si>
  <si>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</si>
  <si>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</si>
  <si>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</si>
  <si>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</si>
  <si>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</si>
  <si>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</si>
  <si>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</si>
  <si>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</si>
  <si>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</si>
  <si>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</si>
  <si>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</si>
  <si>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</si>
  <si>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</si>
  <si>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</si>
  <si>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</si>
  <si>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</si>
  <si>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</si>
  <si>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</si>
  <si>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</si>
  <si>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</si>
  <si>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</si>
  <si>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</si>
  <si>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</si>
  <si>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</si>
  <si>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</si>
  <si>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</si>
  <si>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</si>
  <si>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</si>
  <si>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</si>
  <si>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</si>
  <si>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</si>
  <si>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</si>
  <si>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</si>
  <si>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</si>
  <si>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</si>
  <si>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</si>
  <si>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</si>
  <si>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</si>
  <si>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</si>
  <si>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</si>
  <si>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</si>
  <si>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</si>
  <si>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</si>
  <si>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</si>
  <si>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</si>
  <si>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</si>
  <si>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</si>
  <si>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</si>
  <si>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</si>
  <si>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</si>
  <si>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</si>
  <si>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</si>
  <si>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</si>
  <si>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</si>
  <si>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</si>
  <si>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</si>
  <si>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</si>
  <si>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</si>
  <si>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</si>
  <si>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</si>
  <si>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</si>
  <si>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</si>
  <si>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</si>
  <si>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</si>
  <si>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</si>
  <si>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</si>
  <si>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</si>
  <si>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</si>
  <si>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</si>
  <si>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</si>
  <si>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</si>
  <si>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</si>
  <si>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</si>
  <si>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</si>
  <si>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</si>
  <si>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</si>
  <si>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</si>
  <si>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</si>
  <si>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</si>
  <si>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</si>
  <si>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</si>
  <si>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</si>
  <si>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</si>
  <si>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</si>
  <si>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</si>
  <si>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</si>
  <si>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</si>
  <si>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</si>
  <si>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</si>
  <si>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</si>
  <si>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</si>
  <si>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</si>
  <si>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</si>
  <si>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</si>
  <si>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</si>
  <si>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</si>
  <si>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</si>
  <si>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</si>
  <si>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</si>
  <si>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</si>
  <si>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</si>
  <si>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</si>
  <si>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</si>
  <si>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</si>
  <si>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</si>
  <si>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</si>
  <si>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</si>
  <si>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</si>
  <si>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</si>
  <si>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</si>
  <si>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</si>
  <si>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</si>
  <si>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</si>
  <si>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</si>
  <si>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</si>
  <si>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</si>
  <si>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</si>
  <si>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</si>
  <si>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</si>
  <si>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</si>
  <si>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</si>
  <si>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</si>
  <si>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</si>
  <si>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</si>
  <si>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</si>
  <si>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</si>
  <si>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</si>
  <si>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</si>
  <si>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</si>
  <si>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</si>
  <si>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</si>
  <si>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</si>
  <si>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</si>
  <si>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</si>
  <si>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</si>
  <si>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</si>
  <si>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</si>
  <si>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</si>
  <si>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</si>
  <si>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</si>
  <si>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</si>
  <si>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</si>
  <si>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</si>
  <si>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</si>
  <si>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</si>
  <si>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</si>
  <si>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</si>
  <si>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</si>
  <si>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</si>
  <si>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</si>
  <si>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</si>
  <si>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</si>
  <si>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</si>
  <si>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</si>
  <si>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</si>
  <si>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</si>
  <si>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</si>
  <si>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</si>
  <si>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</si>
  <si>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</si>
  <si>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</si>
  <si>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</si>
  <si>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</si>
  <si>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</si>
  <si>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</si>
  <si>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</si>
  <si>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</si>
  <si>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</si>
  <si>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</si>
  <si>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</si>
  <si>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</si>
  <si>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</si>
  <si>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</si>
  <si>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</si>
  <si>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</si>
  <si>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</si>
  <si>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</si>
  <si>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</si>
  <si>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</si>
  <si>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</si>
  <si>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</si>
  <si>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</si>
  <si>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</si>
  <si>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</si>
  <si>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</si>
  <si>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</si>
  <si>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</si>
  <si>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</si>
  <si>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</si>
  <si>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</si>
  <si>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</si>
  <si>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</si>
  <si>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</si>
  <si>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</si>
  <si>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</si>
  <si>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</si>
  <si>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</si>
  <si>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</si>
  <si>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</si>
  <si>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</si>
  <si>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</si>
  <si>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</si>
  <si>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</si>
  <si>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</si>
  <si>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</si>
  <si>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</si>
  <si>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</si>
  <si>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</si>
  <si>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</si>
  <si>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</si>
  <si>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</si>
  <si>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</si>
  <si>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</si>
  <si>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</si>
  <si>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</si>
  <si>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</si>
  <si>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</si>
  <si>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</si>
  <si>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</si>
  <si>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</si>
  <si>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</si>
  <si>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</si>
  <si>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</si>
  <si>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</si>
  <si>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</si>
  <si>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</si>
  <si>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</si>
  <si>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</si>
  <si>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</si>
  <si>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</si>
  <si>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</si>
  <si>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</si>
  <si>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</si>
  <si>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</si>
  <si>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</si>
  <si>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</si>
  <si>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</si>
  <si>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</si>
  <si>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</si>
  <si>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</si>
  <si>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</si>
  <si>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</si>
  <si>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</si>
  <si>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</si>
  <si>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</si>
  <si>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</si>
  <si>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</si>
  <si>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</si>
  <si>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</si>
  <si>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</si>
  <si>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</si>
  <si>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</si>
  <si>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</si>
  <si>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</si>
  <si>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</si>
  <si>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</si>
  <si>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</si>
  <si>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</si>
  <si>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</si>
  <si>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</si>
  <si>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</si>
  <si>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</si>
  <si>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</si>
  <si>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</si>
  <si>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</si>
  <si>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</si>
  <si>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</si>
  <si>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</si>
  <si>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</si>
  <si>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</si>
  <si>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</si>
  <si>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</si>
  <si>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</si>
  <si>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</si>
  <si>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</si>
  <si>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</si>
  <si>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</si>
  <si>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</si>
  <si>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</si>
  <si>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</si>
  <si>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</si>
  <si>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</si>
  <si>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</si>
  <si>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</si>
  <si>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</si>
  <si>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</si>
  <si>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</si>
  <si>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</si>
  <si>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</si>
  <si>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</si>
  <si>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</si>
  <si>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</si>
  <si>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</si>
  <si>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</si>
  <si>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</si>
  <si>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</si>
  <si>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</si>
  <si>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</si>
  <si>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</si>
  <si>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</si>
  <si>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</si>
  <si>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</si>
  <si>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</si>
  <si>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</si>
  <si>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</si>
  <si>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</si>
  <si>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</si>
  <si>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</si>
  <si>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</si>
  <si>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</si>
  <si>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</si>
  <si>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</si>
  <si>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</si>
  <si>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</si>
  <si>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</si>
  <si>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</si>
  <si>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</si>
  <si>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</si>
  <si>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</si>
  <si>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</si>
  <si>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</si>
  <si>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</si>
  <si>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</si>
  <si>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</si>
  <si>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</si>
  <si>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</si>
  <si>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</si>
  <si>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</si>
  <si>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</si>
  <si>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</si>
  <si>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</si>
  <si>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</si>
  <si>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</si>
  <si>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</si>
  <si>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</si>
  <si>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</si>
  <si>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</si>
  <si>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</si>
  <si>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</si>
  <si>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</si>
  <si>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</si>
  <si>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</si>
  <si>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</si>
  <si>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</si>
  <si>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</si>
  <si>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</si>
  <si>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</si>
  <si>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</si>
  <si>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</si>
  <si>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</si>
  <si>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</si>
  <si>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</si>
  <si>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</si>
  <si>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</si>
  <si>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</si>
  <si>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</si>
  <si>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</si>
  <si>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</si>
  <si>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</si>
  <si>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</si>
  <si>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</si>
  <si>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</si>
  <si>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</si>
  <si>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</si>
  <si>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</si>
  <si>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</si>
  <si>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</si>
  <si>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</si>
  <si>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</si>
  <si>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</si>
  <si>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</si>
  <si>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</si>
  <si>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</si>
  <si>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</si>
  <si>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</si>
  <si>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</si>
  <si>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</si>
  <si>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</si>
  <si>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</si>
  <si>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</si>
  <si>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</si>
  <si>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</si>
  <si>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</si>
  <si>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</si>
  <si>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</si>
  <si>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</si>
  <si>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</si>
  <si>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</si>
  <si>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</si>
  <si>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</si>
  <si>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</si>
  <si>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</si>
  <si>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</si>
  <si>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</si>
  <si>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</si>
  <si>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</si>
  <si>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</si>
  <si>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</si>
  <si>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</si>
  <si>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</si>
  <si>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</si>
  <si>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</si>
  <si>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</si>
  <si>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</si>
  <si>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</si>
  <si>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</si>
  <si>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</si>
  <si>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</si>
  <si>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</si>
  <si>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</si>
  <si>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</si>
  <si>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</si>
  <si>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</si>
  <si>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</si>
  <si>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</si>
  <si>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</si>
  <si>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</si>
  <si>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</si>
  <si>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</si>
  <si>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</si>
  <si>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</si>
  <si>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</si>
  <si>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</si>
  <si>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</si>
  <si>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</si>
  <si>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East</t>
  </si>
  <si>
    <t xml:space="preserve">Questions </t>
  </si>
  <si>
    <t>Answers</t>
  </si>
  <si>
    <t>Number Of Employee</t>
  </si>
  <si>
    <t>Number Of Department</t>
  </si>
  <si>
    <t>Number Of Employees Per Department</t>
  </si>
  <si>
    <t>Average Salary Per Departments</t>
  </si>
  <si>
    <t>Average Job Rate Per Department</t>
  </si>
  <si>
    <t>The year with the highest number of employees</t>
  </si>
  <si>
    <t>Most Represented Nationalities</t>
  </si>
  <si>
    <t>Full Name</t>
  </si>
  <si>
    <t xml:space="preserve">Position </t>
  </si>
  <si>
    <t>job rate calssification</t>
  </si>
  <si>
    <t>Row Labels</t>
  </si>
  <si>
    <t>Grand Total</t>
  </si>
  <si>
    <t>Count of No</t>
  </si>
  <si>
    <t>Average of Monthly Salary</t>
  </si>
  <si>
    <t>Average of Job Rate</t>
  </si>
  <si>
    <t>2016</t>
  </si>
  <si>
    <t>2017</t>
  </si>
  <si>
    <t>2018</t>
  </si>
  <si>
    <t>2019</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</si>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</sst>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2"/>
      <color theme="1"/>
      <name val="Calibri"/>
      <family val="2"/>
      <scheme val="minor"/>
    </font>
    <font>
      <sz val="12"/>
      <color rgb="FF7030A0"/>
      <name val="Calibri"/>
      <family val="2"/>
      <scheme val="minor"/>
    </font>
    <font>
      <sz val="12"/>
      <color theme="9"/>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0" fontId="3" fillId="0" borderId="0" xfId="0" applyFont="1"/>
  </cellXfs>
  <cellStyles count="1">
    <cellStyle name="Normal" xfId="0" builtinId="0"/>
  </cellStyles>
  <dxfs count="20">
    <dxf>
      <numFmt numFmtId="0" formatCode="General"/>
    </dxf>
    <dxf>
      <font>
        <b val="0"/>
        <i val="0"/>
        <strike val="0"/>
        <condense val="0"/>
        <extend val="0"/>
        <outline val="0"/>
        <shadow val="0"/>
        <u val="none"/>
        <vertAlign val="baseline"/>
        <sz val="12"/>
        <color theme="9"/>
        <name val="Calibri"/>
        <family val="2"/>
        <scheme val="minor"/>
      </font>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65" formatCode="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Sheet2!$B$4:$B$24</c:f>
              <c:numCache>
                <c:formatCode>General</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Cache>
            </c:numRef>
          </c:val>
          <c:extLst>
            <c:ext xmlns:c16="http://schemas.microsoft.com/office/drawing/2014/chart" uri="{C3380CC4-5D6E-409C-BE32-E72D297353CC}">
              <c16:uniqueId val="{00000000-F2CB-478A-94DB-A2F989664FEC}"/>
            </c:ext>
          </c:extLst>
        </c:ser>
        <c:dLbls>
          <c:showLegendKey val="0"/>
          <c:showVal val="0"/>
          <c:showCatName val="0"/>
          <c:showSerName val="0"/>
          <c:showPercent val="0"/>
          <c:showBubbleSize val="0"/>
        </c:dLbls>
        <c:gapWidth val="150"/>
        <c:overlap val="100"/>
        <c:axId val="1656898256"/>
        <c:axId val="1656897296"/>
      </c:barChart>
      <c:catAx>
        <c:axId val="165689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97296"/>
        <c:crosses val="autoZero"/>
        <c:auto val="1"/>
        <c:lblAlgn val="ctr"/>
        <c:lblOffset val="100"/>
        <c:noMultiLvlLbl val="0"/>
      </c:catAx>
      <c:valAx>
        <c:axId val="165689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9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1.xlsx]Sheet2!PivotTable2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Sheet2!$B$35</c:f>
              <c:strCache>
                <c:ptCount val="1"/>
                <c:pt idx="0">
                  <c:v>Total</c:v>
                </c:pt>
              </c:strCache>
            </c:strRef>
          </c:tx>
          <c:spPr>
            <a:solidFill>
              <a:schemeClr val="accent1"/>
            </a:solidFill>
            <a:ln>
              <a:noFill/>
            </a:ln>
            <a:effectLst/>
            <a:sp3d/>
          </c:spPr>
          <c:invertIfNegative val="0"/>
          <c:cat>
            <c:strRef>
              <c:f>Sheet2!$A$36:$A$56</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Sheet2!$B$36:$B$56</c:f>
              <c:numCache>
                <c:formatCode>0.0</c:formatCode>
                <c:ptCount val="20"/>
                <c:pt idx="0">
                  <c:v>1937.1666666666667</c:v>
                </c:pt>
                <c:pt idx="1">
                  <c:v>2011.3157894736842</c:v>
                </c:pt>
                <c:pt idx="2">
                  <c:v>2508.1538461538462</c:v>
                </c:pt>
                <c:pt idx="3">
                  <c:v>2000.4444444444443</c:v>
                </c:pt>
                <c:pt idx="4">
                  <c:v>2285.2758620689656</c:v>
                </c:pt>
                <c:pt idx="5">
                  <c:v>2082.875</c:v>
                </c:pt>
                <c:pt idx="6">
                  <c:v>2555.8571428571427</c:v>
                </c:pt>
                <c:pt idx="7">
                  <c:v>2114.5250000000001</c:v>
                </c:pt>
                <c:pt idx="8">
                  <c:v>2242.375</c:v>
                </c:pt>
                <c:pt idx="9">
                  <c:v>2004.6357142857144</c:v>
                </c:pt>
                <c:pt idx="10">
                  <c:v>1921</c:v>
                </c:pt>
                <c:pt idx="11">
                  <c:v>2061.125</c:v>
                </c:pt>
                <c:pt idx="12">
                  <c:v>1964.7058823529412</c:v>
                </c:pt>
                <c:pt idx="13">
                  <c:v>2040.4285714285713</c:v>
                </c:pt>
                <c:pt idx="14">
                  <c:v>2083.9253731343283</c:v>
                </c:pt>
                <c:pt idx="15">
                  <c:v>2053.9550561797751</c:v>
                </c:pt>
                <c:pt idx="16">
                  <c:v>1887</c:v>
                </c:pt>
                <c:pt idx="17">
                  <c:v>2098.6</c:v>
                </c:pt>
                <c:pt idx="18">
                  <c:v>1956.45</c:v>
                </c:pt>
                <c:pt idx="19">
                  <c:v>2361.75</c:v>
                </c:pt>
              </c:numCache>
            </c:numRef>
          </c:val>
          <c:extLst>
            <c:ext xmlns:c16="http://schemas.microsoft.com/office/drawing/2014/chart" uri="{C3380CC4-5D6E-409C-BE32-E72D297353CC}">
              <c16:uniqueId val="{00000000-7F5A-4C95-895D-E8E78878AF55}"/>
            </c:ext>
          </c:extLst>
        </c:ser>
        <c:dLbls>
          <c:showLegendKey val="0"/>
          <c:showVal val="0"/>
          <c:showCatName val="0"/>
          <c:showSerName val="0"/>
          <c:showPercent val="0"/>
          <c:showBubbleSize val="0"/>
        </c:dLbls>
        <c:gapWidth val="150"/>
        <c:shape val="box"/>
        <c:axId val="609967056"/>
        <c:axId val="609966096"/>
        <c:axId val="0"/>
      </c:bar3DChart>
      <c:catAx>
        <c:axId val="609967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966096"/>
        <c:crosses val="autoZero"/>
        <c:auto val="1"/>
        <c:lblAlgn val="ctr"/>
        <c:lblOffset val="100"/>
        <c:noMultiLvlLbl val="0"/>
      </c:catAx>
      <c:valAx>
        <c:axId val="60996609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96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1.xlsx]Sheet2!PivotTable4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Sheet2!$B$94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E9-450D-A203-1005D52B99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E9-450D-A203-1005D52B99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E9-450D-A203-1005D52B99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E9-450D-A203-1005D52B99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CE9-450D-A203-1005D52B992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Sheet2!$A$95:$A$100</c:f>
              <c:strCache>
                <c:ptCount val="5"/>
                <c:pt idx="0">
                  <c:v>2016</c:v>
                </c:pt>
                <c:pt idx="1">
                  <c:v>2017</c:v>
                </c:pt>
                <c:pt idx="2">
                  <c:v>2018</c:v>
                </c:pt>
                <c:pt idx="3">
                  <c:v>2019</c:v>
                </c:pt>
                <c:pt idx="4">
                  <c:v>2020</c:v>
                </c:pt>
              </c:strCache>
            </c:strRef>
          </c:cat>
          <c:val>
            <c:numRef>
              <c:f>Sheet2!$B$95:$B$100</c:f>
              <c:numCache>
                <c:formatCode>General</c:formatCode>
                <c:ptCount val="5"/>
                <c:pt idx="0">
                  <c:v>51</c:v>
                </c:pt>
                <c:pt idx="1">
                  <c:v>77</c:v>
                </c:pt>
                <c:pt idx="2">
                  <c:v>151</c:v>
                </c:pt>
                <c:pt idx="3">
                  <c:v>248</c:v>
                </c:pt>
                <c:pt idx="4">
                  <c:v>162</c:v>
                </c:pt>
              </c:numCache>
            </c:numRef>
          </c:val>
          <c:extLst>
            <c:ext xmlns:c16="http://schemas.microsoft.com/office/drawing/2014/chart" uri="{C3380CC4-5D6E-409C-BE32-E72D297353CC}">
              <c16:uniqueId val="{00000000-F072-4D47-AF1D-5A038121B5B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1.xlsx]Sheet2!PivotTable5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7779E-3"/>
              <c:y val="-0.129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Sheet2!$G$103</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3-3B90-4ACD-A71E-0434845B2B2E}"/>
              </c:ext>
            </c:extLst>
          </c:dPt>
          <c:dPt>
            <c:idx val="4"/>
            <c:invertIfNegative val="0"/>
            <c:bubble3D val="0"/>
            <c:extLst>
              <c:ext xmlns:c16="http://schemas.microsoft.com/office/drawing/2014/chart" uri="{C3380CC4-5D6E-409C-BE32-E72D297353CC}">
                <c16:uniqueId val="{00000002-3B90-4ACD-A71E-0434845B2B2E}"/>
              </c:ext>
            </c:extLst>
          </c:dPt>
          <c:dLbls>
            <c:dLbl>
              <c:idx val="3"/>
              <c:layout>
                <c:manualLayout>
                  <c:x val="2.7777777777777779E-3"/>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90-4ACD-A71E-0434845B2B2E}"/>
                </c:ext>
              </c:extLst>
            </c:dLbl>
            <c:dLbl>
              <c:idx val="4"/>
              <c:layout>
                <c:manualLayout>
                  <c:x val="2.7777777777777779E-3"/>
                  <c:y val="-0.129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90-4ACD-A71E-0434845B2B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Sheet2!$F$104:$F$109</c:f>
              <c:strCache>
                <c:ptCount val="5"/>
                <c:pt idx="0">
                  <c:v>Egypt</c:v>
                </c:pt>
                <c:pt idx="1">
                  <c:v>Lebanon</c:v>
                </c:pt>
                <c:pt idx="2">
                  <c:v>Saudi Arabia</c:v>
                </c:pt>
                <c:pt idx="3">
                  <c:v>Syria</c:v>
                </c:pt>
                <c:pt idx="4">
                  <c:v>United Arab Emirates</c:v>
                </c:pt>
              </c:strCache>
            </c:strRef>
          </c:cat>
          <c:val>
            <c:numRef>
              <c:f>Sheet2!$G$104:$G$109</c:f>
              <c:numCache>
                <c:formatCode>General</c:formatCode>
                <c:ptCount val="5"/>
                <c:pt idx="0">
                  <c:v>379</c:v>
                </c:pt>
                <c:pt idx="1">
                  <c:v>11</c:v>
                </c:pt>
                <c:pt idx="2">
                  <c:v>90</c:v>
                </c:pt>
                <c:pt idx="3">
                  <c:v>53</c:v>
                </c:pt>
                <c:pt idx="4">
                  <c:v>156</c:v>
                </c:pt>
              </c:numCache>
            </c:numRef>
          </c:val>
          <c:extLst>
            <c:ext xmlns:c16="http://schemas.microsoft.com/office/drawing/2014/chart" uri="{C3380CC4-5D6E-409C-BE32-E72D297353CC}">
              <c16:uniqueId val="{00000000-3B90-4ACD-A71E-0434845B2B2E}"/>
            </c:ext>
          </c:extLst>
        </c:ser>
        <c:dLbls>
          <c:showLegendKey val="0"/>
          <c:showVal val="0"/>
          <c:showCatName val="0"/>
          <c:showSerName val="0"/>
          <c:showPercent val="0"/>
          <c:showBubbleSize val="0"/>
        </c:dLbls>
        <c:gapWidth val="150"/>
        <c:overlap val="100"/>
        <c:axId val="610187840"/>
        <c:axId val="610185440"/>
      </c:barChart>
      <c:catAx>
        <c:axId val="61018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185440"/>
        <c:crosses val="autoZero"/>
        <c:auto val="1"/>
        <c:lblAlgn val="ctr"/>
        <c:lblOffset val="100"/>
        <c:noMultiLvlLbl val="0"/>
      </c:catAx>
      <c:valAx>
        <c:axId val="61018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18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1.xlsx]Sheet2!PivotTable1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Employees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
        <c:idx val="4"/>
        <c:spPr>
          <a:solidFill>
            <a:schemeClr val="accent1"/>
          </a:solidFill>
          <a:ln>
            <a:noFill/>
          </a:ln>
          <a:effectLst/>
        </c:spPr>
        <c:dLbl>
          <c:idx val="0"/>
          <c:layout>
            <c:manualLayout>
              <c:x val="-2.0588840848259488E-3"/>
              <c:y val="-8.0710250201775621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8.0710250201775621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0588840848260242E-3"/>
              <c:y val="-0.11299435028248588"/>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6.0532687651331796E-2"/>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dPt>
            <c:idx val="9"/>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1FD2-494D-A901-E2969A85B976}"/>
              </c:ext>
            </c:extLst>
          </c:dPt>
          <c:dPt>
            <c:idx val="11"/>
            <c:invertIfNegative val="0"/>
            <c:bubble3D val="0"/>
            <c:extLst>
              <c:ext xmlns:c16="http://schemas.microsoft.com/office/drawing/2014/chart" uri="{C3380CC4-5D6E-409C-BE32-E72D297353CC}">
                <c16:uniqueId val="{00000002-1FD2-494D-A901-E2969A85B976}"/>
              </c:ext>
            </c:extLst>
          </c:dPt>
          <c:dPt>
            <c:idx val="12"/>
            <c:invertIfNegative val="0"/>
            <c:bubble3D val="0"/>
            <c:extLst>
              <c:ext xmlns:c16="http://schemas.microsoft.com/office/drawing/2014/chart" uri="{C3380CC4-5D6E-409C-BE32-E72D297353CC}">
                <c16:uniqueId val="{00000003-1FD2-494D-A901-E2969A85B976}"/>
              </c:ext>
            </c:extLst>
          </c:dPt>
          <c:dPt>
            <c:idx val="14"/>
            <c:invertIfNegative val="0"/>
            <c:bubble3D val="0"/>
            <c:extLst>
              <c:ext xmlns:c16="http://schemas.microsoft.com/office/drawing/2014/chart" uri="{C3380CC4-5D6E-409C-BE32-E72D297353CC}">
                <c16:uniqueId val="{00000004-1FD2-494D-A901-E2969A85B976}"/>
              </c:ext>
            </c:extLst>
          </c:dPt>
          <c:dPt>
            <c:idx val="16"/>
            <c:invertIfNegative val="0"/>
            <c:bubble3D val="0"/>
            <c:extLst>
              <c:ext xmlns:c16="http://schemas.microsoft.com/office/drawing/2014/chart" uri="{C3380CC4-5D6E-409C-BE32-E72D297353CC}">
                <c16:uniqueId val="{00000005-1FD2-494D-A901-E2969A85B976}"/>
              </c:ext>
            </c:extLst>
          </c:dPt>
          <c:dLbls>
            <c:dLbl>
              <c:idx val="11"/>
              <c:layout>
                <c:manualLayout>
                  <c:x val="-2.0588840848259488E-3"/>
                  <c:y val="-8.0710250201775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D2-494D-A901-E2969A85B976}"/>
                </c:ext>
              </c:extLst>
            </c:dLbl>
            <c:dLbl>
              <c:idx val="12"/>
              <c:layout>
                <c:manualLayout>
                  <c:x val="0"/>
                  <c:y val="-8.07102502017756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D2-494D-A901-E2969A85B976}"/>
                </c:ext>
              </c:extLst>
            </c:dLbl>
            <c:dLbl>
              <c:idx val="14"/>
              <c:layout>
                <c:manualLayout>
                  <c:x val="-2.0588840848260242E-3"/>
                  <c:y val="-0.11299435028248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D2-494D-A901-E2969A85B976}"/>
                </c:ext>
              </c:extLst>
            </c:dLbl>
            <c:dLbl>
              <c:idx val="16"/>
              <c:layout>
                <c:manualLayout>
                  <c:x val="0"/>
                  <c:y val="-6.05326876513317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D2-494D-A901-E2969A85B976}"/>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Sheet2!$A$4:$A$24</c:f>
              <c:strCache>
                <c:ptCount val="20"/>
                <c:pt idx="0">
                  <c:v>Account Management</c:v>
                </c:pt>
                <c:pt idx="1">
                  <c:v>Creative</c:v>
                </c:pt>
                <c:pt idx="2">
                  <c:v>Environmental Compliance</c:v>
                </c:pt>
                <c:pt idx="3">
                  <c:v>Environmental Health/Safety</c:v>
                </c:pt>
                <c:pt idx="4">
                  <c:v>Facilities/Engineering</c:v>
                </c:pt>
                <c:pt idx="5">
                  <c:v>Green Building</c:v>
                </c:pt>
                <c:pt idx="6">
                  <c:v>Human Resources</c:v>
                </c:pt>
                <c:pt idx="7">
                  <c:v>IT</c:v>
                </c:pt>
                <c:pt idx="8">
                  <c:v>Major Mfg Projects</c:v>
                </c:pt>
                <c:pt idx="9">
                  <c:v>Manufacturing</c:v>
                </c:pt>
                <c:pt idx="10">
                  <c:v>Manufacturing Admin</c:v>
                </c:pt>
                <c:pt idx="11">
                  <c:v>Marketing</c:v>
                </c:pt>
                <c:pt idx="12">
                  <c:v>Product Development</c:v>
                </c:pt>
                <c:pt idx="13">
                  <c:v>Professional Training Group</c:v>
                </c:pt>
                <c:pt idx="14">
                  <c:v>Quality Assurance</c:v>
                </c:pt>
                <c:pt idx="15">
                  <c:v>Quality Control</c:v>
                </c:pt>
                <c:pt idx="16">
                  <c:v>Research Center</c:v>
                </c:pt>
                <c:pt idx="17">
                  <c:v>Research/Development</c:v>
                </c:pt>
                <c:pt idx="18">
                  <c:v>Sales</c:v>
                </c:pt>
                <c:pt idx="19">
                  <c:v>Training</c:v>
                </c:pt>
              </c:strCache>
            </c:strRef>
          </c:cat>
          <c:val>
            <c:numRef>
              <c:f>Sheet2!$B$4:$B$24</c:f>
              <c:numCache>
                <c:formatCode>General</c:formatCode>
                <c:ptCount val="20"/>
                <c:pt idx="0">
                  <c:v>84</c:v>
                </c:pt>
                <c:pt idx="1">
                  <c:v>19</c:v>
                </c:pt>
                <c:pt idx="2">
                  <c:v>13</c:v>
                </c:pt>
                <c:pt idx="3">
                  <c:v>9</c:v>
                </c:pt>
                <c:pt idx="4">
                  <c:v>58</c:v>
                </c:pt>
                <c:pt idx="5">
                  <c:v>8</c:v>
                </c:pt>
                <c:pt idx="6">
                  <c:v>7</c:v>
                </c:pt>
                <c:pt idx="7">
                  <c:v>40</c:v>
                </c:pt>
                <c:pt idx="8">
                  <c:v>8</c:v>
                </c:pt>
                <c:pt idx="9">
                  <c:v>140</c:v>
                </c:pt>
                <c:pt idx="10">
                  <c:v>5</c:v>
                </c:pt>
                <c:pt idx="11">
                  <c:v>48</c:v>
                </c:pt>
                <c:pt idx="12">
                  <c:v>34</c:v>
                </c:pt>
                <c:pt idx="13">
                  <c:v>14</c:v>
                </c:pt>
                <c:pt idx="14">
                  <c:v>67</c:v>
                </c:pt>
                <c:pt idx="15">
                  <c:v>89</c:v>
                </c:pt>
                <c:pt idx="16">
                  <c:v>5</c:v>
                </c:pt>
                <c:pt idx="17">
                  <c:v>5</c:v>
                </c:pt>
                <c:pt idx="18">
                  <c:v>20</c:v>
                </c:pt>
                <c:pt idx="19">
                  <c:v>16</c:v>
                </c:pt>
              </c:numCache>
            </c:numRef>
          </c:val>
          <c:extLst>
            <c:ext xmlns:c16="http://schemas.microsoft.com/office/drawing/2014/chart" uri="{C3380CC4-5D6E-409C-BE32-E72D297353CC}">
              <c16:uniqueId val="{00000000-1FD2-494D-A901-E2969A85B976}"/>
            </c:ext>
          </c:extLst>
        </c:ser>
        <c:dLbls>
          <c:showLegendKey val="0"/>
          <c:showVal val="0"/>
          <c:showCatName val="0"/>
          <c:showSerName val="0"/>
          <c:showPercent val="0"/>
          <c:showBubbleSize val="0"/>
        </c:dLbls>
        <c:gapWidth val="150"/>
        <c:overlap val="100"/>
        <c:axId val="1656898256"/>
        <c:axId val="1656897296"/>
      </c:barChart>
      <c:catAx>
        <c:axId val="165689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97296"/>
        <c:crosses val="autoZero"/>
        <c:auto val="1"/>
        <c:lblAlgn val="ctr"/>
        <c:lblOffset val="100"/>
        <c:noMultiLvlLbl val="0"/>
      </c:catAx>
      <c:valAx>
        <c:axId val="16568972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5689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361950</xdr:colOff>
      <xdr:row>4</xdr:row>
      <xdr:rowOff>15240</xdr:rowOff>
    </xdr:from>
    <xdr:to>
      <xdr:col>12</xdr:col>
      <xdr:colOff>495300</xdr:colOff>
      <xdr:row>19</xdr:row>
      <xdr:rowOff>190500</xdr:rowOff>
    </xdr:to>
    <xdr:graphicFrame macro="">
      <xdr:nvGraphicFramePr>
        <xdr:cNvPr id="2" name="Chart 1">
          <a:extLst>
            <a:ext uri="{FF2B5EF4-FFF2-40B4-BE49-F238E27FC236}">
              <a16:creationId xmlns:a16="http://schemas.microsoft.com/office/drawing/2014/main" id="{E0DF365F-9847-E23F-541E-164D722A3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621030</xdr:colOff>
      <xdr:row>35</xdr:row>
      <xdr:rowOff>160020</xdr:rowOff>
    </xdr:from>
    <xdr:to>
      <xdr:col>8</xdr:col>
      <xdr:colOff>316230</xdr:colOff>
      <xdr:row>49</xdr:row>
      <xdr:rowOff>129540</xdr:rowOff>
    </xdr:to>
    <xdr:graphicFrame macro="">
      <xdr:nvGraphicFramePr>
        <xdr:cNvPr id="3" name="Chart 2">
          <a:extLst>
            <a:ext uri="{FF2B5EF4-FFF2-40B4-BE49-F238E27FC236}">
              <a16:creationId xmlns:a16="http://schemas.microsoft.com/office/drawing/2014/main" id="{F661302A-7198-D61E-52D8-8931F17FD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449580</xdr:colOff>
      <xdr:row>36</xdr:row>
      <xdr:rowOff>121920</xdr:rowOff>
    </xdr:from>
    <xdr:to>
      <xdr:col>11</xdr:col>
      <xdr:colOff>114300</xdr:colOff>
      <xdr:row>52</xdr:row>
      <xdr:rowOff>152400</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297B797C-A974-91D8-C466-8813FE49BA2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766560" y="7254240"/>
              <a:ext cx="2346960" cy="320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255270</xdr:colOff>
      <xdr:row>85</xdr:row>
      <xdr:rowOff>22860</xdr:rowOff>
    </xdr:from>
    <xdr:to>
      <xdr:col>10</xdr:col>
      <xdr:colOff>133350</xdr:colOff>
      <xdr:row>98</xdr:row>
      <xdr:rowOff>190500</xdr:rowOff>
    </xdr:to>
    <xdr:graphicFrame macro="">
      <xdr:nvGraphicFramePr>
        <xdr:cNvPr id="5" name="Chart 4">
          <a:extLst>
            <a:ext uri="{FF2B5EF4-FFF2-40B4-BE49-F238E27FC236}">
              <a16:creationId xmlns:a16="http://schemas.microsoft.com/office/drawing/2014/main" id="{6C0DE108-24FE-BDF2-0D47-EB13CB356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560070</xdr:colOff>
      <xdr:row>100</xdr:row>
      <xdr:rowOff>15240</xdr:rowOff>
    </xdr:from>
    <xdr:to>
      <xdr:col>9</xdr:col>
      <xdr:colOff>148590</xdr:colOff>
      <xdr:row>113</xdr:row>
      <xdr:rowOff>182880</xdr:rowOff>
    </xdr:to>
    <xdr:graphicFrame macro="">
      <xdr:nvGraphicFramePr>
        <xdr:cNvPr id="6" name="Chart 5">
          <a:extLst>
            <a:ext uri="{FF2B5EF4-FFF2-40B4-BE49-F238E27FC236}">
              <a16:creationId xmlns:a16="http://schemas.microsoft.com/office/drawing/2014/main" id="{A98B1704-46A4-FCFA-8CAB-ECB2FCC94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76200</xdr:colOff>
      <xdr:row>4</xdr:row>
      <xdr:rowOff>190500</xdr:rowOff>
    </xdr:from>
    <xdr:to>
      <xdr:col>14</xdr:col>
      <xdr:colOff>209550</xdr:colOff>
      <xdr:row>20</xdr:row>
      <xdr:rowOff>167640</xdr:rowOff>
    </xdr:to>
    <xdr:graphicFrame macro="">
      <xdr:nvGraphicFramePr>
        <xdr:cNvPr id="2" name="Chart 1">
          <a:extLst>
            <a:ext uri="{FF2B5EF4-FFF2-40B4-BE49-F238E27FC236}">
              <a16:creationId xmlns:a16="http://schemas.microsoft.com/office/drawing/2014/main" id="{386021E7-2EBE-4762-9F02-270DC4EA7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12.588139699074" createdVersion="8" refreshedVersion="8" minRefreshableVersion="3" recordCount="689" xr:uid="{1DBAD050-6785-417B-B53A-4351A0D7B0EF}">
  <cacheSource type="worksheet">
    <worksheetSource name="EmpTable"/>
  </cacheSource>
  <cacheFields count="21">
    <cacheField name="No" numFmtId="0">
      <sharedItems containsSemiMixedTypes="0" containsString="0" containsNumber="1" containsInteger="1" minValue="1" maxValue="689"/>
    </cacheField>
    <cacheField name="First Name" numFmtId="0">
      <sharedItems/>
    </cacheField>
    <cacheField name="Last Name" numFmtId="0">
      <sharedItems/>
    </cacheField>
    <cacheField name="Full Name" numFmtId="0">
      <sharedItems/>
    </cacheField>
    <cacheField name="Gender" numFmtId="0">
      <sharedItems/>
    </cacheField>
    <cacheField name="Start Date" numFmtId="14">
      <sharedItems containsSemiMixedTypes="0" containsNonDate="0" containsDate="1" containsString="0" minDate="2016-01-08T00:00:00" maxDate="2020-12-30T00:00:00" count="539">
        <d v="2018-04-04T00:00:00"/>
        <d v="2020-05-21T00:00:00"/>
        <d v="2017-09-28T00:00:00"/>
        <d v="2018-08-14T00:00:00"/>
        <d v="2020-03-11T00:00:00"/>
        <d v="2016-02-02T00:00:00"/>
        <d v="2020-05-08T00:00:00"/>
        <d v="2018-02-10T00:00:00"/>
        <d v="2018-03-11T00:00:00"/>
        <d v="2020-01-03T00:00:00"/>
        <d v="2018-01-16T00:00:00"/>
        <d v="2018-07-19T00:00:00"/>
        <d v="2018-11-11T00:00:00"/>
        <d v="2016-03-01T00:00:00"/>
        <d v="2018-12-04T00:00:00"/>
        <d v="2019-10-07T00:00:00"/>
        <d v="2016-05-27T00:00:00"/>
        <d v="2018-05-12T00:00:00"/>
        <d v="2018-04-24T00:00:00"/>
        <d v="2019-10-02T00:00:00"/>
        <d v="2020-12-03T00:00:00"/>
        <d v="2019-01-08T00:00:00"/>
        <d v="2019-11-14T00:00:00"/>
        <d v="2019-10-17T00:00:00"/>
        <d v="2020-12-13T00:00:00"/>
        <d v="2020-08-02T00:00:00"/>
        <d v="2018-12-03T00:00:00"/>
        <d v="2019-03-06T00:00:00"/>
        <d v="2019-12-16T00:00:00"/>
        <d v="2019-08-13T00:00:00"/>
        <d v="2020-06-09T00:00:00"/>
        <d v="2019-05-19T00:00:00"/>
        <d v="2017-05-03T00:00:00"/>
        <d v="2017-06-21T00:00:00"/>
        <d v="2017-02-01T00:00:00"/>
        <d v="2019-09-23T00:00:00"/>
        <d v="2016-01-27T00:00:00"/>
        <d v="2020-11-29T00:00:00"/>
        <d v="2018-06-17T00:00:00"/>
        <d v="2019-09-14T00:00:00"/>
        <d v="2019-04-26T00:00:00"/>
        <d v="2020-12-10T00:00:00"/>
        <d v="2017-06-30T00:00:00"/>
        <d v="2020-05-03T00:00:00"/>
        <d v="2016-11-27T00:00:00"/>
        <d v="2019-12-18T00:00:00"/>
        <d v="2019-04-17T00:00:00"/>
        <d v="2016-03-09T00:00:00"/>
        <d v="2020-05-06T00:00:00"/>
        <d v="2019-10-21T00:00:00"/>
        <d v="2018-10-30T00:00:00"/>
        <d v="2019-08-22T00:00:00"/>
        <d v="2020-10-23T00:00:00"/>
        <d v="2019-02-02T00:00:00"/>
        <d v="2016-09-16T00:00:00"/>
        <d v="2018-03-14T00:00:00"/>
        <d v="2019-03-16T00:00:00"/>
        <d v="2020-01-19T00:00:00"/>
        <d v="2019-04-21T00:00:00"/>
        <d v="2019-07-19T00:00:00"/>
        <d v="2019-04-27T00:00:00"/>
        <d v="2018-12-05T00:00:00"/>
        <d v="2017-03-25T00:00:00"/>
        <d v="2016-01-20T00:00:00"/>
        <d v="2018-06-29T00:00:00"/>
        <d v="2019-09-07T00:00:00"/>
        <d v="2019-11-25T00:00:00"/>
        <d v="2020-06-28T00:00:00"/>
        <d v="2019-12-03T00:00:00"/>
        <d v="2018-07-03T00:00:00"/>
        <d v="2016-11-17T00:00:00"/>
        <d v="2018-08-27T00:00:00"/>
        <d v="2020-11-14T00:00:00"/>
        <d v="2019-11-28T00:00:00"/>
        <d v="2018-04-20T00:00:00"/>
        <d v="2020-01-10T00:00:00"/>
        <d v="2018-11-07T00:00:00"/>
        <d v="2019-05-06T00:00:00"/>
        <d v="2016-08-27T00:00:00"/>
        <d v="2016-06-23T00:00:00"/>
        <d v="2020-08-26T00:00:00"/>
        <d v="2018-07-05T00:00:00"/>
        <d v="2019-01-16T00:00:00"/>
        <d v="2019-06-19T00:00:00"/>
        <d v="2017-10-01T00:00:00"/>
        <d v="2020-01-26T00:00:00"/>
        <d v="2019-07-20T00:00:00"/>
        <d v="2020-07-27T00:00:00"/>
        <d v="2018-10-11T00:00:00"/>
        <d v="2019-07-11T00:00:00"/>
        <d v="2019-08-17T00:00:00"/>
        <d v="2020-11-04T00:00:00"/>
        <d v="2017-07-21T00:00:00"/>
        <d v="2018-04-10T00:00:00"/>
        <d v="2018-11-29T00:00:00"/>
        <d v="2019-11-17T00:00:00"/>
        <d v="2019-11-24T00:00:00"/>
        <d v="2020-02-06T00:00:00"/>
        <d v="2018-10-24T00:00:00"/>
        <d v="2020-05-28T00:00:00"/>
        <d v="2016-05-17T00:00:00"/>
        <d v="2019-01-22T00:00:00"/>
        <d v="2020-09-11T00:00:00"/>
        <d v="2018-09-19T00:00:00"/>
        <d v="2016-04-20T00:00:00"/>
        <d v="2019-10-04T00:00:00"/>
        <d v="2016-10-16T00:00:00"/>
        <d v="2017-02-04T00:00:00"/>
        <d v="2019-06-02T00:00:00"/>
        <d v="2019-03-03T00:00:00"/>
        <d v="2019-10-06T00:00:00"/>
        <d v="2018-02-15T00:00:00"/>
        <d v="2019-04-03T00:00:00"/>
        <d v="2016-11-13T00:00:00"/>
        <d v="2019-10-24T00:00:00"/>
        <d v="2019-07-28T00:00:00"/>
        <d v="2020-10-30T00:00:00"/>
        <d v="2018-01-25T00:00:00"/>
        <d v="2017-06-28T00:00:00"/>
        <d v="2019-08-11T00:00:00"/>
        <d v="2017-07-27T00:00:00"/>
        <d v="2018-07-28T00:00:00"/>
        <d v="2020-07-18T00:00:00"/>
        <d v="2019-07-29T00:00:00"/>
        <d v="2019-09-18T00:00:00"/>
        <d v="2017-01-30T00:00:00"/>
        <d v="2018-01-03T00:00:00"/>
        <d v="2017-09-04T00:00:00"/>
        <d v="2018-06-14T00:00:00"/>
        <d v="2020-02-09T00:00:00"/>
        <d v="2020-05-12T00:00:00"/>
        <d v="2018-05-29T00:00:00"/>
        <d v="2019-03-22T00:00:00"/>
        <d v="2019-08-21T00:00:00"/>
        <d v="2020-11-30T00:00:00"/>
        <d v="2019-04-16T00:00:00"/>
        <d v="2019-03-27T00:00:00"/>
        <d v="2020-01-20T00:00:00"/>
        <d v="2019-02-24T00:00:00"/>
        <d v="2020-08-28T00:00:00"/>
        <d v="2017-09-29T00:00:00"/>
        <d v="2017-02-07T00:00:00"/>
        <d v="2020-10-14T00:00:00"/>
        <d v="2019-11-11T00:00:00"/>
        <d v="2017-02-26T00:00:00"/>
        <d v="2019-03-05T00:00:00"/>
        <d v="2019-08-06T00:00:00"/>
        <d v="2020-03-18T00:00:00"/>
        <d v="2019-07-07T00:00:00"/>
        <d v="2016-02-05T00:00:00"/>
        <d v="2020-05-16T00:00:00"/>
        <d v="2020-09-28T00:00:00"/>
        <d v="2017-04-15T00:00:00"/>
        <d v="2018-10-12T00:00:00"/>
        <d v="2019-06-22T00:00:00"/>
        <d v="2019-09-17T00:00:00"/>
        <d v="2017-07-11T00:00:00"/>
        <d v="2019-08-03T00:00:00"/>
        <d v="2020-01-16T00:00:00"/>
        <d v="2017-07-26T00:00:00"/>
        <d v="2019-11-18T00:00:00"/>
        <d v="2017-09-16T00:00:00"/>
        <d v="2018-02-17T00:00:00"/>
        <d v="2017-06-06T00:00:00"/>
        <d v="2020-04-18T00:00:00"/>
        <d v="2018-03-16T00:00:00"/>
        <d v="2018-12-24T00:00:00"/>
        <d v="2020-03-07T00:00:00"/>
        <d v="2018-10-25T00:00:00"/>
        <d v="2018-05-30T00:00:00"/>
        <d v="2020-12-04T00:00:00"/>
        <d v="2018-09-08T00:00:00"/>
        <d v="2019-02-28T00:00:00"/>
        <d v="2020-12-17T00:00:00"/>
        <d v="2019-05-07T00:00:00"/>
        <d v="2018-08-03T00:00:00"/>
        <d v="2018-02-02T00:00:00"/>
        <d v="2019-12-27T00:00:00"/>
        <d v="2019-04-07T00:00:00"/>
        <d v="2020-05-27T00:00:00"/>
        <d v="2019-12-07T00:00:00"/>
        <d v="2019-11-06T00:00:00"/>
        <d v="2018-08-17T00:00:00"/>
        <d v="2016-01-18T00:00:00"/>
        <d v="2020-11-06T00:00:00"/>
        <d v="2019-08-28T00:00:00"/>
        <d v="2019-09-03T00:00:00"/>
        <d v="2020-05-31T00:00:00"/>
        <d v="2019-05-18T00:00:00"/>
        <d v="2018-05-17T00:00:00"/>
        <d v="2017-04-17T00:00:00"/>
        <d v="2019-07-08T00:00:00"/>
        <d v="2020-11-03T00:00:00"/>
        <d v="2018-06-11T00:00:00"/>
        <d v="2019-02-12T00:00:00"/>
        <d v="2018-10-03T00:00:00"/>
        <d v="2017-08-10T00:00:00"/>
        <d v="2019-11-23T00:00:00"/>
        <d v="2017-06-13T00:00:00"/>
        <d v="2020-11-28T00:00:00"/>
        <d v="2016-11-06T00:00:00"/>
        <d v="2020-05-05T00:00:00"/>
        <d v="2018-03-25T00:00:00"/>
        <d v="2016-09-13T00:00:00"/>
        <d v="2019-03-29T00:00:00"/>
        <d v="2020-04-24T00:00:00"/>
        <d v="2018-04-25T00:00:00"/>
        <d v="2018-12-09T00:00:00"/>
        <d v="2019-08-10T00:00:00"/>
        <d v="2019-07-17T00:00:00"/>
        <d v="2018-06-05T00:00:00"/>
        <d v="2020-10-02T00:00:00"/>
        <d v="2018-05-24T00:00:00"/>
        <d v="2019-01-09T00:00:00"/>
        <d v="2019-11-26T00:00:00"/>
        <d v="2020-09-29T00:00:00"/>
        <d v="2019-03-23T00:00:00"/>
        <d v="2020-04-10T00:00:00"/>
        <d v="2018-06-21T00:00:00"/>
        <d v="2018-11-27T00:00:00"/>
        <d v="2016-07-05T00:00:00"/>
        <d v="2019-10-27T00:00:00"/>
        <d v="2019-05-27T00:00:00"/>
        <d v="2020-10-22T00:00:00"/>
        <d v="2020-12-16T00:00:00"/>
        <d v="2020-12-02T00:00:00"/>
        <d v="2018-06-24T00:00:00"/>
        <d v="2018-02-06T00:00:00"/>
        <d v="2020-11-27T00:00:00"/>
        <d v="2020-02-08T00:00:00"/>
        <d v="2020-02-04T00:00:00"/>
        <d v="2020-04-15T00:00:00"/>
        <d v="2016-07-06T00:00:00"/>
        <d v="2019-09-21T00:00:00"/>
        <d v="2019-01-01T00:00:00"/>
        <d v="2019-04-05T00:00:00"/>
        <d v="2020-04-20T00:00:00"/>
        <d v="2020-07-13T00:00:00"/>
        <d v="2018-05-10T00:00:00"/>
        <d v="2018-03-12T00:00:00"/>
        <d v="2019-07-01T00:00:00"/>
        <d v="2018-06-15T00:00:00"/>
        <d v="2019-02-16T00:00:00"/>
        <d v="2020-10-15T00:00:00"/>
        <d v="2020-01-07T00:00:00"/>
        <d v="2020-07-16T00:00:00"/>
        <d v="2019-03-31T00:00:00"/>
        <d v="2019-01-06T00:00:00"/>
        <d v="2019-08-07T00:00:00"/>
        <d v="2018-12-20T00:00:00"/>
        <d v="2019-07-06T00:00:00"/>
        <d v="2018-09-05T00:00:00"/>
        <d v="2019-10-26T00:00:00"/>
        <d v="2020-04-12T00:00:00"/>
        <d v="2019-10-15T00:00:00"/>
        <d v="2020-04-30T00:00:00"/>
        <d v="2018-04-09T00:00:00"/>
        <d v="2018-07-26T00:00:00"/>
        <d v="2019-12-01T00:00:00"/>
        <d v="2016-11-10T00:00:00"/>
        <d v="2019-12-23T00:00:00"/>
        <d v="2017-12-27T00:00:00"/>
        <d v="2016-04-13T00:00:00"/>
        <d v="2017-08-26T00:00:00"/>
        <d v="2017-04-27T00:00:00"/>
        <d v="2017-05-24T00:00:00"/>
        <d v="2016-08-23T00:00:00"/>
        <d v="2020-03-15T00:00:00"/>
        <d v="2016-05-02T00:00:00"/>
        <d v="2017-05-05T00:00:00"/>
        <d v="2020-07-04T00:00:00"/>
        <d v="2019-12-11T00:00:00"/>
        <d v="2018-02-05T00:00:00"/>
        <d v="2019-05-22T00:00:00"/>
        <d v="2019-04-10T00:00:00"/>
        <d v="2019-03-13T00:00:00"/>
        <d v="2016-11-18T00:00:00"/>
        <d v="2019-12-24T00:00:00"/>
        <d v="2017-02-06T00:00:00"/>
        <d v="2020-06-16T00:00:00"/>
        <d v="2019-07-02T00:00:00"/>
        <d v="2016-12-22T00:00:00"/>
        <d v="2020-10-11T00:00:00"/>
        <d v="2018-03-23T00:00:00"/>
        <d v="2019-03-04T00:00:00"/>
        <d v="2018-01-06T00:00:00"/>
        <d v="2016-08-19T00:00:00"/>
        <d v="2018-08-10T00:00:00"/>
        <d v="2020-06-11T00:00:00"/>
        <d v="2019-08-30T00:00:00"/>
        <d v="2019-04-19T00:00:00"/>
        <d v="2019-01-18T00:00:00"/>
        <d v="2018-05-28T00:00:00"/>
        <d v="2019-06-07T00:00:00"/>
        <d v="2017-11-19T00:00:00"/>
        <d v="2018-10-05T00:00:00"/>
        <d v="2018-05-04T00:00:00"/>
        <d v="2020-10-19T00:00:00"/>
        <d v="2018-11-26T00:00:00"/>
        <d v="2019-03-17T00:00:00"/>
        <d v="2016-12-20T00:00:00"/>
        <d v="2017-07-29T00:00:00"/>
        <d v="2019-11-16T00:00:00"/>
        <d v="2018-07-20T00:00:00"/>
        <d v="2019-01-27T00:00:00"/>
        <d v="2019-02-11T00:00:00"/>
        <d v="2019-01-11T00:00:00"/>
        <d v="2020-08-01T00:00:00"/>
        <d v="2020-08-21T00:00:00"/>
        <d v="2017-01-12T00:00:00"/>
        <d v="2020-11-11T00:00:00"/>
        <d v="2017-08-27T00:00:00"/>
        <d v="2019-01-15T00:00:00"/>
        <d v="2016-05-14T00:00:00"/>
        <d v="2017-06-18T00:00:00"/>
        <d v="2020-07-11T00:00:00"/>
        <d v="2018-04-14T00:00:00"/>
        <d v="2019-10-14T00:00:00"/>
        <d v="2019-06-06T00:00:00"/>
        <d v="2019-01-31T00:00:00"/>
        <d v="2019-11-15T00:00:00"/>
        <d v="2020-12-27T00:00:00"/>
        <d v="2019-12-04T00:00:00"/>
        <d v="2018-03-24T00:00:00"/>
        <d v="2020-02-25T00:00:00"/>
        <d v="2018-11-09T00:00:00"/>
        <d v="2019-11-08T00:00:00"/>
        <d v="2019-10-12T00:00:00"/>
        <d v="2019-10-03T00:00:00"/>
        <d v="2020-09-18T00:00:00"/>
        <d v="2017-02-12T00:00:00"/>
        <d v="2019-01-03T00:00:00"/>
        <d v="2019-08-27T00:00:00"/>
        <d v="2017-07-24T00:00:00"/>
        <d v="2020-07-24T00:00:00"/>
        <d v="2019-04-08T00:00:00"/>
        <d v="2019-04-11T00:00:00"/>
        <d v="2020-07-20T00:00:00"/>
        <d v="2020-03-05T00:00:00"/>
        <d v="2020-05-07T00:00:00"/>
        <d v="2017-03-29T00:00:00"/>
        <d v="2017-02-22T00:00:00"/>
        <d v="2018-05-20T00:00:00"/>
        <d v="2020-04-23T00:00:00"/>
        <d v="2020-10-26T00:00:00"/>
        <d v="2019-02-04T00:00:00"/>
        <d v="2017-02-15T00:00:00"/>
        <d v="2018-04-07T00:00:00"/>
        <d v="2018-12-10T00:00:00"/>
        <d v="2020-12-14T00:00:00"/>
        <d v="2020-12-26T00:00:00"/>
        <d v="2018-12-27T00:00:00"/>
        <d v="2018-07-09T00:00:00"/>
        <d v="2018-04-05T00:00:00"/>
        <d v="2019-04-24T00:00:00"/>
        <d v="2017-09-20T00:00:00"/>
        <d v="2016-07-23T00:00:00"/>
        <d v="2019-02-10T00:00:00"/>
        <d v="2017-07-18T00:00:00"/>
        <d v="2020-06-26T00:00:00"/>
        <d v="2019-01-25T00:00:00"/>
        <d v="2019-08-20T00:00:00"/>
        <d v="2020-03-09T00:00:00"/>
        <d v="2017-09-26T00:00:00"/>
        <d v="2019-01-02T00:00:00"/>
        <d v="2019-11-12T00:00:00"/>
        <d v="2018-08-02T00:00:00"/>
        <d v="2017-11-23T00:00:00"/>
        <d v="2020-07-15T00:00:00"/>
        <d v="2016-07-11T00:00:00"/>
        <d v="2019-05-30T00:00:00"/>
        <d v="2019-12-22T00:00:00"/>
        <d v="2019-02-03T00:00:00"/>
        <d v="2019-07-15T00:00:00"/>
        <d v="2016-10-11T00:00:00"/>
        <d v="2017-11-04T00:00:00"/>
        <d v="2020-09-08T00:00:00"/>
        <d v="2020-10-18T00:00:00"/>
        <d v="2019-12-14T00:00:00"/>
        <d v="2020-05-15T00:00:00"/>
        <d v="2019-11-01T00:00:00"/>
        <d v="2017-08-30T00:00:00"/>
        <d v="2020-03-10T00:00:00"/>
        <d v="2019-03-18T00:00:00"/>
        <d v="2018-06-28T00:00:00"/>
        <d v="2017-02-21T00:00:00"/>
        <d v="2018-06-18T00:00:00"/>
        <d v="2017-04-10T00:00:00"/>
        <d v="2017-09-18T00:00:00"/>
        <d v="2020-11-09T00:00:00"/>
        <d v="2019-02-01T00:00:00"/>
        <d v="2018-06-09T00:00:00"/>
        <d v="2020-08-20T00:00:00"/>
        <d v="2017-02-20T00:00:00"/>
        <d v="2017-08-31T00:00:00"/>
        <d v="2019-01-10T00:00:00"/>
        <d v="2019-01-07T00:00:00"/>
        <d v="2019-04-02T00:00:00"/>
        <d v="2020-10-05T00:00:00"/>
        <d v="2018-12-01T00:00:00"/>
        <d v="2018-02-28T00:00:00"/>
        <d v="2019-06-01T00:00:00"/>
        <d v="2019-09-12T00:00:00"/>
        <d v="2019-05-09T00:00:00"/>
        <d v="2016-08-21T00:00:00"/>
        <d v="2020-01-02T00:00:00"/>
        <d v="2016-06-09T00:00:00"/>
        <d v="2019-12-26T00:00:00"/>
        <d v="2019-10-23T00:00:00"/>
        <d v="2018-03-09T00:00:00"/>
        <d v="2018-09-15T00:00:00"/>
        <d v="2020-09-23T00:00:00"/>
        <d v="2020-09-17T00:00:00"/>
        <d v="2018-02-25T00:00:00"/>
        <d v="2020-05-23T00:00:00"/>
        <d v="2017-10-30T00:00:00"/>
        <d v="2020-01-08T00:00:00"/>
        <d v="2019-01-28T00:00:00"/>
        <d v="2019-01-17T00:00:00"/>
        <d v="2019-05-15T00:00:00"/>
        <d v="2019-06-26T00:00:00"/>
        <d v="2016-01-12T00:00:00"/>
        <d v="2019-08-16T00:00:00"/>
        <d v="2018-07-08T00:00:00"/>
        <d v="2017-06-17T00:00:00"/>
        <d v="2020-06-14T00:00:00"/>
        <d v="2016-10-06T00:00:00"/>
        <d v="2019-05-01T00:00:00"/>
        <d v="2020-11-15T00:00:00"/>
        <d v="2019-12-10T00:00:00"/>
        <d v="2017-09-15T00:00:00"/>
        <d v="2018-01-13T00:00:00"/>
        <d v="2019-06-27T00:00:00"/>
        <d v="2017-12-17T00:00:00"/>
        <d v="2020-05-09T00:00:00"/>
        <d v="2019-05-08T00:00:00"/>
        <d v="2018-11-06T00:00:00"/>
        <d v="2016-06-26T00:00:00"/>
        <d v="2019-12-31T00:00:00"/>
        <d v="2019-10-08T00:00:00"/>
        <d v="2020-10-21T00:00:00"/>
        <d v="2019-04-13T00:00:00"/>
        <d v="2020-01-21T00:00:00"/>
        <d v="2019-09-20T00:00:00"/>
        <d v="2018-04-17T00:00:00"/>
        <d v="2016-02-09T00:00:00"/>
        <d v="2020-02-29T00:00:00"/>
        <d v="2016-11-21T00:00:00"/>
        <d v="2016-06-16T00:00:00"/>
        <d v="2016-08-01T00:00:00"/>
        <d v="2019-07-30T00:00:00"/>
        <d v="2017-10-05T00:00:00"/>
        <d v="2017-05-23T00:00:00"/>
        <d v="2019-03-01T00:00:00"/>
        <d v="2016-12-18T00:00:00"/>
        <d v="2020-04-19T00:00:00"/>
        <d v="2020-11-17T00:00:00"/>
        <d v="2018-02-11T00:00:00"/>
        <d v="2016-01-08T00:00:00"/>
        <d v="2020-09-13T00:00:00"/>
        <d v="2020-04-29T00:00:00"/>
        <d v="2017-04-04T00:00:00"/>
        <d v="2020-12-19T00:00:00"/>
        <d v="2018-03-07T00:00:00"/>
        <d v="2020-03-04T00:00:00"/>
        <d v="2019-04-22T00:00:00"/>
        <d v="2019-12-12T00:00:00"/>
        <d v="2019-02-09T00:00:00"/>
        <d v="2019-04-01T00:00:00"/>
        <d v="2018-03-17T00:00:00"/>
        <d v="2019-09-25T00:00:00"/>
        <d v="2019-05-20T00:00:00"/>
        <d v="2017-01-01T00:00:00"/>
        <d v="2020-08-29T00:00:00"/>
        <d v="2020-01-04T00:00:00"/>
        <d v="2020-08-11T00:00:00"/>
        <d v="2020-02-23T00:00:00"/>
        <d v="2019-08-15T00:00:00"/>
        <d v="2018-02-23T00:00:00"/>
        <d v="2020-01-05T00:00:00"/>
        <d v="2018-05-05T00:00:00"/>
        <d v="2017-04-29T00:00:00"/>
        <d v="2017-05-29T00:00:00"/>
        <d v="2019-10-20T00:00:00"/>
        <d v="2018-12-19T00:00:00"/>
        <d v="2016-01-24T00:00:00"/>
        <d v="2017-01-02T00:00:00"/>
        <d v="2017-10-02T00:00:00"/>
        <d v="2016-02-12T00:00:00"/>
        <d v="2018-05-14T00:00:00"/>
        <d v="2017-07-31T00:00:00"/>
        <d v="2017-02-25T00:00:00"/>
        <d v="2017-08-05T00:00:00"/>
        <d v="2018-05-19T00:00:00"/>
        <d v="2019-09-29T00:00:00"/>
        <d v="2018-01-07T00:00:00"/>
        <d v="2019-09-27T00:00:00"/>
        <d v="2019-02-06T00:00:00"/>
        <d v="2019-06-25T00:00:00"/>
        <d v="2017-12-02T00:00:00"/>
        <d v="2020-11-21T00:00:00"/>
        <d v="2019-11-07T00:00:00"/>
        <d v="2019-05-10T00:00:00"/>
        <d v="2016-03-05T00:00:00"/>
        <d v="2019-05-29T00:00:00"/>
        <d v="2020-12-29T00:00:00"/>
        <d v="2016-07-25T00:00:00"/>
        <d v="2019-01-14T00:00:00"/>
        <d v="2019-02-15T00:00:00"/>
        <d v="2018-04-28T00:00:00"/>
        <d v="2020-03-25T00:00:00"/>
        <d v="2018-05-25T00:00:00"/>
        <d v="2020-08-12T00:00:00"/>
        <d v="2020-06-29T00:00:00"/>
        <d v="2017-03-01T00:00:00"/>
        <d v="2020-12-12T00:00:00"/>
        <d v="2019-08-04T00:00:00"/>
        <d v="2017-02-19T00:00:00"/>
        <d v="2020-01-22T00:00:00"/>
        <d v="2018-01-26T00:00:00"/>
        <d v="2018-05-03T00:00:00"/>
        <d v="2018-12-08T00:00:00"/>
        <d v="2020-06-13T00:00:00"/>
        <d v="2018-09-30T00:00:00"/>
        <d v="2019-05-05T00:00:00"/>
        <d v="2017-09-14T00:00:00"/>
        <d v="2019-04-18T00:00:00"/>
        <d v="2018-01-04T00:00:00"/>
        <d v="2018-03-01T00:00:00"/>
        <d v="2019-10-28T00:00:00"/>
        <d v="2019-03-14T00:00:00"/>
        <d v="2018-12-14T00:00:00"/>
        <d v="2019-10-19T00:00:00"/>
        <d v="2020-05-30T00:00:00"/>
        <d v="2016-05-12T00:00:00"/>
        <d v="2017-06-27T00:00:00"/>
        <d v="2020-05-26T00:00:00"/>
        <d v="2020-06-03T00:00:00"/>
        <d v="2020-08-05T00:00:00"/>
      </sharedItems>
      <fieldGroup par="20"/>
    </cacheField>
    <cacheField name="Years" numFmtId="1">
      <sharedItems containsSemiMixedTypes="0" containsString="0" containsNumber="1" containsInteger="1" minValue="5" maxValue="10" count="6">
        <n v="7"/>
        <n v="5"/>
        <n v="8"/>
        <n v="6"/>
        <n v="10"/>
        <n v="9"/>
      </sharedItems>
    </cacheField>
    <cacheField name="Position " numFmtId="1">
      <sharedItems count="2">
        <s v="Teamlead"/>
        <s v="manger"/>
      </sharedItems>
    </cacheField>
    <cacheField name="Department" numFmtId="0">
      <sharedItems count="20">
        <s v="Quality Control"/>
        <s v="Major Mfg Projects"/>
        <s v="Manufacturing"/>
        <s v="Product Development"/>
        <s v="Sales"/>
        <s v="Account Management"/>
        <s v="Green Building"/>
        <s v="IT"/>
        <s v="Facilities/Engineering"/>
        <s v="Marketing"/>
        <s v="Manufacturing Admin"/>
        <s v="Training"/>
        <s v="Quality Assurance"/>
        <s v="Professional Training Group"/>
        <s v="Environmental Compliance"/>
        <s v="Creative"/>
        <s v="Research/Development"/>
        <s v="Environmental Health/Safety"/>
        <s v="Human Resources"/>
        <s v="Research Center"/>
      </sharedItems>
    </cacheField>
    <cacheField name="Country" numFmtId="0">
      <sharedItems count="5">
        <s v="Egypt"/>
        <s v="Saudi Arabia"/>
        <s v="United Arab Emirates"/>
        <s v="Syria"/>
        <s v="Lebanon"/>
      </sharedItems>
    </cacheField>
    <cacheField name="Center" numFmtId="0">
      <sharedItems/>
    </cacheField>
    <cacheField name="Monthly Salary" numFmtId="0">
      <sharedItems containsSemiMixedTypes="0" containsString="0" containsNumber="1" containsInteger="1" minValue="703" maxValue="3450"/>
    </cacheField>
    <cacheField name="Annual Salary" numFmtId="0">
      <sharedItems containsSemiMixedTypes="0" containsString="0" containsNumber="1" containsInteger="1" minValue="8436" maxValue="41400"/>
    </cacheField>
    <cacheField name="Job Rate" numFmtId="0">
      <sharedItems containsSemiMixedTypes="0" containsString="0" containsNumber="1" minValue="1" maxValue="5"/>
    </cacheField>
    <cacheField name="job rate calssification" numFmtId="0">
      <sharedItems/>
    </cacheField>
    <cacheField name="Sick Leaves" numFmtId="0">
      <sharedItems containsSemiMixedTypes="0" containsString="0" containsNumber="1" containsInteger="1" minValue="0" maxValue="6"/>
    </cacheField>
    <cacheField name="Unpaid Leaves" numFmtId="0">
      <sharedItems containsSemiMixedTypes="0" containsString="0" containsNumber="1" containsInteger="1" minValue="0" maxValue="6"/>
    </cacheField>
    <cacheField name="Overtime Hours" numFmtId="0">
      <sharedItems containsSemiMixedTypes="0" containsString="0" containsNumber="1" containsInteger="1" minValue="0" maxValue="198"/>
    </cacheField>
    <cacheField name="Months (Start Date)" numFmtId="0" databaseField="0">
      <fieldGroup base="5">
        <rangePr groupBy="months" startDate="2016-01-08T00:00:00" endDate="2020-12-30T00:00:00"/>
        <groupItems count="14">
          <s v="&lt;1/8/2016"/>
          <s v="Jan"/>
          <s v="Feb"/>
          <s v="Mar"/>
          <s v="Apr"/>
          <s v="May"/>
          <s v="Jun"/>
          <s v="Jul"/>
          <s v="Aug"/>
          <s v="Sep"/>
          <s v="Oct"/>
          <s v="Nov"/>
          <s v="Dec"/>
          <s v="&gt;12/30/2020"/>
        </groupItems>
      </fieldGroup>
    </cacheField>
    <cacheField name="Quarters (Start Date)" numFmtId="0" databaseField="0">
      <fieldGroup base="5">
        <rangePr groupBy="quarters" startDate="2016-01-08T00:00:00" endDate="2020-12-30T00:00:00"/>
        <groupItems count="6">
          <s v="&lt;1/8/2016"/>
          <s v="Qtr1"/>
          <s v="Qtr2"/>
          <s v="Qtr3"/>
          <s v="Qtr4"/>
          <s v="&gt;12/30/2020"/>
        </groupItems>
      </fieldGroup>
    </cacheField>
    <cacheField name="Years (Start Date)" numFmtId="0" databaseField="0">
      <fieldGroup base="5">
        <rangePr groupBy="years" startDate="2016-01-08T00:00:00" endDate="2020-12-30T00:00:00"/>
        <groupItems count="7">
          <s v="&lt;1/8/2016"/>
          <s v="2016"/>
          <s v="2017"/>
          <s v="2018"/>
          <s v="2019"/>
          <s v="2020"/>
          <s v="&gt;12/30/2020"/>
        </groupItems>
      </fieldGroup>
    </cacheField>
  </cacheFields>
  <extLst>
    <ext xmlns:x14="http://schemas.microsoft.com/office/spreadsheetml/2009/9/main" uri="{725AE2AE-9491-48be-B2B4-4EB974FC3084}">
      <x14:pivotCacheDefinition pivotCacheId="11572891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9">
  <r>
    <n v="1"/>
    <s v="Ghadir"/>
    <s v="Hmshw"/>
    <s v="GhadirHmshw"/>
    <s v="Male"/>
    <x v="0"/>
    <x v="0"/>
    <x v="0"/>
    <x v="0"/>
    <x v="0"/>
    <s v="West"/>
    <n v="1560"/>
    <n v="18720"/>
    <n v="3"/>
    <s v="MEDIUM"/>
    <n v="1"/>
    <n v="0"/>
    <n v="183"/>
  </r>
  <r>
    <n v="2"/>
    <s v="Omar"/>
    <s v="Hishan"/>
    <s v="OmarHishan"/>
    <s v="Male"/>
    <x v="1"/>
    <x v="1"/>
    <x v="0"/>
    <x v="0"/>
    <x v="1"/>
    <s v="West"/>
    <n v="3247"/>
    <n v="38964"/>
    <n v="1"/>
    <s v="LOW"/>
    <n v="0"/>
    <n v="5"/>
    <n v="198"/>
  </r>
  <r>
    <n v="3"/>
    <s v="Ailya"/>
    <s v="Sharaf"/>
    <s v="AilyaSharaf"/>
    <s v="Female"/>
    <x v="2"/>
    <x v="2"/>
    <x v="1"/>
    <x v="1"/>
    <x v="1"/>
    <s v="West"/>
    <n v="2506"/>
    <n v="30072"/>
    <n v="2"/>
    <s v="LOW"/>
    <n v="0"/>
    <n v="3"/>
    <n v="192"/>
  </r>
  <r>
    <n v="4"/>
    <s v="Lwiy"/>
    <s v="Qbany"/>
    <s v="LwiyQbany"/>
    <s v="Male"/>
    <x v="3"/>
    <x v="0"/>
    <x v="0"/>
    <x v="2"/>
    <x v="2"/>
    <s v="Main"/>
    <n v="1828"/>
    <n v="21936"/>
    <n v="3"/>
    <s v="MEDIUM"/>
    <n v="0"/>
    <n v="0"/>
    <n v="7"/>
  </r>
  <r>
    <n v="5"/>
    <s v="Ahmad"/>
    <s v="Bikri"/>
    <s v="AhmadBikri"/>
    <s v="Male"/>
    <x v="4"/>
    <x v="3"/>
    <x v="0"/>
    <x v="2"/>
    <x v="0"/>
    <s v="Main"/>
    <n v="970"/>
    <n v="11640"/>
    <n v="5"/>
    <s v="HIGH"/>
    <n v="0"/>
    <n v="5"/>
    <n v="121"/>
  </r>
  <r>
    <n v="6"/>
    <s v="Muhamad"/>
    <s v="Zueitr"/>
    <s v="MuhamadZueitr"/>
    <s v="Male"/>
    <x v="5"/>
    <x v="4"/>
    <x v="1"/>
    <x v="3"/>
    <x v="1"/>
    <s v="North"/>
    <n v="2332"/>
    <n v="27984"/>
    <n v="3"/>
    <s v="MEDIUM"/>
    <n v="3"/>
    <n v="0"/>
    <n v="8"/>
  </r>
  <r>
    <n v="7"/>
    <s v="Iin"/>
    <s v="Alhalaliu"/>
    <s v="IinAlhalaliu"/>
    <s v="Female"/>
    <x v="6"/>
    <x v="1"/>
    <x v="0"/>
    <x v="4"/>
    <x v="2"/>
    <s v="Main"/>
    <n v="1959"/>
    <n v="23508"/>
    <n v="3"/>
    <s v="MEDIUM"/>
    <n v="6"/>
    <n v="0"/>
    <n v="116"/>
  </r>
  <r>
    <n v="8"/>
    <s v="Muhamad"/>
    <s v="Alaya"/>
    <s v="MuhamadAlaya"/>
    <s v="Male"/>
    <x v="7"/>
    <x v="2"/>
    <x v="1"/>
    <x v="5"/>
    <x v="0"/>
    <s v="Main"/>
    <n v="3394"/>
    <n v="40728"/>
    <n v="5"/>
    <s v="HIGH"/>
    <n v="0"/>
    <n v="0"/>
    <n v="7"/>
  </r>
  <r>
    <n v="9"/>
    <s v="Susin"/>
    <s v="Almilat"/>
    <s v="SusinAlmilat"/>
    <s v="Female"/>
    <x v="8"/>
    <x v="2"/>
    <x v="1"/>
    <x v="6"/>
    <x v="0"/>
    <s v="North"/>
    <n v="1479"/>
    <n v="17748"/>
    <n v="4.5"/>
    <s v="HIGH"/>
    <n v="0"/>
    <n v="0"/>
    <n v="105"/>
  </r>
  <r>
    <n v="10"/>
    <s v="Muhamad"/>
    <s v="Alrifaei"/>
    <s v="MuhamadAlrifaei"/>
    <s v="Male"/>
    <x v="9"/>
    <x v="3"/>
    <x v="0"/>
    <x v="5"/>
    <x v="0"/>
    <s v="Main"/>
    <n v="1186"/>
    <n v="14232"/>
    <n v="4.5"/>
    <s v="HIGH"/>
    <n v="1"/>
    <n v="0"/>
    <n v="153"/>
  </r>
  <r>
    <n v="11"/>
    <s v="Muhamad"/>
    <s v="Alqadah"/>
    <s v="MuhamadAlqadah"/>
    <s v="Male"/>
    <x v="10"/>
    <x v="2"/>
    <x v="1"/>
    <x v="2"/>
    <x v="3"/>
    <s v="Main"/>
    <n v="1485"/>
    <n v="17820"/>
    <n v="2"/>
    <s v="LOW"/>
    <n v="5"/>
    <n v="0"/>
    <n v="12"/>
  </r>
  <r>
    <n v="12"/>
    <s v="Muhamad"/>
    <s v="Iad"/>
    <s v="MuhamadIad"/>
    <s v="Male"/>
    <x v="11"/>
    <x v="0"/>
    <x v="0"/>
    <x v="7"/>
    <x v="0"/>
    <s v="Main"/>
    <n v="2016"/>
    <n v="24192"/>
    <n v="1"/>
    <s v="LOW"/>
    <n v="2"/>
    <n v="0"/>
    <n v="70"/>
  </r>
  <r>
    <n v="13"/>
    <s v="Razaan"/>
    <s v="Nasif"/>
    <s v="RazaanNasif"/>
    <s v="Female"/>
    <x v="12"/>
    <x v="0"/>
    <x v="0"/>
    <x v="8"/>
    <x v="0"/>
    <s v="Main"/>
    <n v="1999"/>
    <n v="23988"/>
    <n v="5"/>
    <s v="HIGH"/>
    <n v="6"/>
    <n v="0"/>
    <n v="85"/>
  </r>
  <r>
    <n v="14"/>
    <s v="Iilian"/>
    <s v="Dbs"/>
    <s v="IilianDbs"/>
    <s v="Female"/>
    <x v="13"/>
    <x v="4"/>
    <x v="1"/>
    <x v="8"/>
    <x v="2"/>
    <s v="North"/>
    <n v="3404"/>
    <n v="40848"/>
    <n v="5"/>
    <s v="HIGH"/>
    <n v="1"/>
    <n v="0"/>
    <n v="8"/>
  </r>
  <r>
    <n v="15"/>
    <s v="Bayan"/>
    <s v="Qdw"/>
    <s v="BayanQdw"/>
    <s v="Female"/>
    <x v="14"/>
    <x v="0"/>
    <x v="0"/>
    <x v="9"/>
    <x v="0"/>
    <s v="Main"/>
    <n v="889"/>
    <n v="10668"/>
    <n v="3"/>
    <s v="MEDIUM"/>
    <n v="1"/>
    <n v="1"/>
    <n v="8"/>
  </r>
  <r>
    <n v="16"/>
    <s v="Alaa"/>
    <s v="Muhamad"/>
    <s v="AlaaMuhamad"/>
    <s v="Male"/>
    <x v="15"/>
    <x v="3"/>
    <x v="0"/>
    <x v="4"/>
    <x v="0"/>
    <s v="South"/>
    <n v="930"/>
    <n v="11160"/>
    <n v="3"/>
    <s v="MEDIUM"/>
    <n v="0"/>
    <n v="0"/>
    <n v="77"/>
  </r>
  <r>
    <n v="17"/>
    <s v="Sandra"/>
    <s v="Aljurmqaniu"/>
    <s v="SandraAljurmqaniu"/>
    <s v="Female"/>
    <x v="16"/>
    <x v="5"/>
    <x v="1"/>
    <x v="5"/>
    <x v="1"/>
    <s v="West"/>
    <n v="3149"/>
    <n v="37788"/>
    <n v="4.5"/>
    <s v="HIGH"/>
    <n v="0"/>
    <n v="0"/>
    <n v="93"/>
  </r>
  <r>
    <n v="18"/>
    <s v="Farahad"/>
    <s v="Husayn"/>
    <s v="FarahadHusayn"/>
    <s v="Male"/>
    <x v="17"/>
    <x v="0"/>
    <x v="0"/>
    <x v="0"/>
    <x v="2"/>
    <s v="West"/>
    <n v="1295"/>
    <n v="15540"/>
    <n v="3"/>
    <s v="MEDIUM"/>
    <n v="4"/>
    <n v="0"/>
    <n v="153"/>
  </r>
  <r>
    <n v="19"/>
    <s v="Ahed"/>
    <s v="Salim"/>
    <s v="AhedSalim"/>
    <s v="Female"/>
    <x v="18"/>
    <x v="0"/>
    <x v="0"/>
    <x v="0"/>
    <x v="2"/>
    <s v="South"/>
    <n v="2162"/>
    <n v="25944"/>
    <n v="3"/>
    <s v="MEDIUM"/>
    <n v="0"/>
    <n v="0"/>
    <n v="8"/>
  </r>
  <r>
    <n v="20"/>
    <s v="Ayham"/>
    <s v="Tutwnji"/>
    <s v="AyhamTutwnji"/>
    <s v="Male"/>
    <x v="19"/>
    <x v="3"/>
    <x v="0"/>
    <x v="3"/>
    <x v="2"/>
    <s v="West"/>
    <n v="2180"/>
    <n v="26160"/>
    <n v="2"/>
    <s v="LOW"/>
    <n v="6"/>
    <n v="0"/>
    <n v="10"/>
  </r>
  <r>
    <n v="21"/>
    <s v="Samir"/>
    <s v="Alsafdi"/>
    <s v="SamirAlsafdi"/>
    <s v="Male"/>
    <x v="20"/>
    <x v="1"/>
    <x v="0"/>
    <x v="5"/>
    <x v="0"/>
    <s v="Main"/>
    <n v="1475"/>
    <n v="17700"/>
    <n v="5"/>
    <s v="HIGH"/>
    <n v="0"/>
    <n v="0"/>
    <n v="98"/>
  </r>
  <r>
    <n v="22"/>
    <s v="Bilal"/>
    <s v="Jalal"/>
    <s v="BilalJalal"/>
    <s v="Male"/>
    <x v="21"/>
    <x v="0"/>
    <x v="0"/>
    <x v="10"/>
    <x v="0"/>
    <s v="Main"/>
    <n v="1290"/>
    <n v="15480"/>
    <n v="3"/>
    <s v="MEDIUM"/>
    <n v="4"/>
    <n v="0"/>
    <n v="109"/>
  </r>
  <r>
    <n v="23"/>
    <s v="Riad"/>
    <s v="Sahalul"/>
    <s v="RiadSahalul"/>
    <s v="Male"/>
    <x v="22"/>
    <x v="3"/>
    <x v="0"/>
    <x v="11"/>
    <x v="1"/>
    <s v="Main"/>
    <n v="1764"/>
    <n v="21168"/>
    <n v="3"/>
    <s v="MEDIUM"/>
    <n v="0"/>
    <n v="0"/>
    <n v="111"/>
  </r>
  <r>
    <n v="24"/>
    <s v="Ahmad"/>
    <s v="Ahmad"/>
    <s v="AhmadAhmad"/>
    <s v="Male"/>
    <x v="23"/>
    <x v="3"/>
    <x v="0"/>
    <x v="12"/>
    <x v="1"/>
    <s v="West"/>
    <n v="2682"/>
    <n v="32184"/>
    <n v="4.5"/>
    <s v="HIGH"/>
    <n v="1"/>
    <n v="0"/>
    <n v="32"/>
  </r>
  <r>
    <n v="25"/>
    <s v="Muhamad"/>
    <s v="Altarah"/>
    <s v="MuhamadAltarah"/>
    <s v="Male"/>
    <x v="24"/>
    <x v="1"/>
    <x v="0"/>
    <x v="7"/>
    <x v="0"/>
    <s v="North"/>
    <n v="3044"/>
    <n v="36528"/>
    <n v="3"/>
    <s v="MEDIUM"/>
    <n v="6"/>
    <n v="0"/>
    <n v="94"/>
  </r>
  <r>
    <n v="26"/>
    <s v="Lwna"/>
    <s v="Abu"/>
    <s v="LwnaAbu"/>
    <s v="Female"/>
    <x v="25"/>
    <x v="1"/>
    <x v="0"/>
    <x v="3"/>
    <x v="0"/>
    <s v="Main"/>
    <n v="890"/>
    <n v="10680"/>
    <n v="4.5"/>
    <s v="HIGH"/>
    <n v="0"/>
    <n v="0"/>
    <n v="13"/>
  </r>
  <r>
    <n v="27"/>
    <s v="Jalal"/>
    <s v="Almuluhi"/>
    <s v="JalalAlmuluhi"/>
    <s v="Male"/>
    <x v="26"/>
    <x v="0"/>
    <x v="0"/>
    <x v="0"/>
    <x v="0"/>
    <s v="West"/>
    <n v="2207"/>
    <n v="26484"/>
    <n v="5"/>
    <s v="HIGH"/>
    <n v="0"/>
    <n v="0"/>
    <n v="70"/>
  </r>
  <r>
    <n v="28"/>
    <s v="Rana"/>
    <s v="Mius"/>
    <s v="RanaMius"/>
    <s v="Female"/>
    <x v="27"/>
    <x v="0"/>
    <x v="0"/>
    <x v="2"/>
    <x v="1"/>
    <s v="West"/>
    <n v="2136"/>
    <n v="25632"/>
    <n v="4.5"/>
    <s v="HIGH"/>
    <n v="1"/>
    <n v="0"/>
    <n v="9"/>
  </r>
  <r>
    <n v="29"/>
    <s v="Lina"/>
    <s v="Aljabaan"/>
    <s v="LinaAljabaan"/>
    <s v="Female"/>
    <x v="28"/>
    <x v="3"/>
    <x v="0"/>
    <x v="0"/>
    <x v="0"/>
    <s v="Main"/>
    <n v="1161"/>
    <n v="13932"/>
    <n v="5"/>
    <s v="HIGH"/>
    <n v="0"/>
    <n v="1"/>
    <n v="97"/>
  </r>
  <r>
    <n v="30"/>
    <s v="Rami"/>
    <s v="Shanan"/>
    <s v="RamiShanan"/>
    <s v="Male"/>
    <x v="29"/>
    <x v="3"/>
    <x v="0"/>
    <x v="13"/>
    <x v="2"/>
    <s v="West"/>
    <n v="830"/>
    <n v="9960"/>
    <n v="5"/>
    <s v="HIGH"/>
    <n v="0"/>
    <n v="0"/>
    <n v="71"/>
  </r>
  <r>
    <n v="31"/>
    <s v="Eala"/>
    <s v="Alhaj"/>
    <s v="EalaAlhaj"/>
    <s v="Female"/>
    <x v="30"/>
    <x v="1"/>
    <x v="0"/>
    <x v="12"/>
    <x v="1"/>
    <s v="West"/>
    <n v="2977"/>
    <n v="35724"/>
    <n v="5"/>
    <s v="HIGH"/>
    <n v="0"/>
    <n v="0"/>
    <n v="100"/>
  </r>
  <r>
    <n v="32"/>
    <s v="Ghalib"/>
    <s v="Zakianiin"/>
    <s v="GhalibZakianiin"/>
    <s v="Male"/>
    <x v="31"/>
    <x v="3"/>
    <x v="0"/>
    <x v="14"/>
    <x v="3"/>
    <s v="North"/>
    <n v="3151"/>
    <n v="37812"/>
    <n v="3"/>
    <s v="MEDIUM"/>
    <n v="0"/>
    <n v="5"/>
    <n v="48"/>
  </r>
  <r>
    <n v="33"/>
    <s v="Muhamad"/>
    <s v="Eurul"/>
    <s v="MuhamadEurul"/>
    <s v="Male"/>
    <x v="32"/>
    <x v="2"/>
    <x v="1"/>
    <x v="12"/>
    <x v="0"/>
    <s v="North"/>
    <n v="1551"/>
    <n v="18612"/>
    <n v="1"/>
    <s v="LOW"/>
    <n v="0"/>
    <n v="0"/>
    <n v="148"/>
  </r>
  <r>
    <n v="34"/>
    <s v="Eizat"/>
    <s v="Ghanim"/>
    <s v="EizatGhanim"/>
    <s v="Male"/>
    <x v="33"/>
    <x v="2"/>
    <x v="1"/>
    <x v="3"/>
    <x v="2"/>
    <s v="South"/>
    <n v="2099"/>
    <n v="25188"/>
    <n v="1"/>
    <s v="LOW"/>
    <n v="0"/>
    <n v="0"/>
    <n v="5"/>
  </r>
  <r>
    <n v="35"/>
    <s v="Ahmad"/>
    <s v="Swyd"/>
    <s v="AhmadSwyd"/>
    <s v="Male"/>
    <x v="34"/>
    <x v="5"/>
    <x v="1"/>
    <x v="4"/>
    <x v="0"/>
    <s v="North"/>
    <n v="808"/>
    <n v="9696"/>
    <n v="4.5"/>
    <s v="HIGH"/>
    <n v="1"/>
    <n v="0"/>
    <n v="7"/>
  </r>
  <r>
    <n v="36"/>
    <s v="Muhamad"/>
    <s v="Aleass"/>
    <s v="MuhamadAleass"/>
    <s v="Male"/>
    <x v="35"/>
    <x v="3"/>
    <x v="0"/>
    <x v="2"/>
    <x v="1"/>
    <s v="Main"/>
    <n v="984"/>
    <n v="11808"/>
    <n v="4.5"/>
    <s v="HIGH"/>
    <n v="6"/>
    <n v="0"/>
    <n v="37"/>
  </r>
  <r>
    <n v="37"/>
    <s v="Rima"/>
    <s v="AlAsfar"/>
    <s v="RimaAlAsfar"/>
    <s v="Female"/>
    <x v="36"/>
    <x v="4"/>
    <x v="1"/>
    <x v="12"/>
    <x v="0"/>
    <s v="North"/>
    <n v="1011"/>
    <n v="12132"/>
    <n v="5"/>
    <s v="HIGH"/>
    <n v="0"/>
    <n v="3"/>
    <n v="5"/>
  </r>
  <r>
    <n v="38"/>
    <s v="Zayn"/>
    <s v="Aleabdyn Zaetar"/>
    <s v="ZaynAleabdyn Zaetar"/>
    <s v="Female"/>
    <x v="37"/>
    <x v="1"/>
    <x v="0"/>
    <x v="0"/>
    <x v="2"/>
    <s v="West"/>
    <n v="2026"/>
    <n v="24312"/>
    <n v="5"/>
    <s v="HIGH"/>
    <n v="1"/>
    <n v="0"/>
    <n v="3"/>
  </r>
  <r>
    <n v="39"/>
    <s v="Hazim"/>
    <s v="Alshshatim"/>
    <s v="HazimAlshshatim"/>
    <s v="Male"/>
    <x v="38"/>
    <x v="0"/>
    <x v="0"/>
    <x v="0"/>
    <x v="0"/>
    <s v="Main"/>
    <n v="2801"/>
    <n v="33612"/>
    <n v="3"/>
    <s v="MEDIUM"/>
    <n v="0"/>
    <n v="0"/>
    <n v="9"/>
  </r>
  <r>
    <n v="40"/>
    <s v="Dia"/>
    <s v="Alshahf"/>
    <s v="DiaAlshahf"/>
    <s v="Male"/>
    <x v="39"/>
    <x v="3"/>
    <x v="0"/>
    <x v="9"/>
    <x v="2"/>
    <s v="Main"/>
    <n v="3208"/>
    <n v="38496"/>
    <n v="3"/>
    <s v="MEDIUM"/>
    <n v="0"/>
    <n v="0"/>
    <n v="0"/>
  </r>
  <r>
    <n v="41"/>
    <s v="Ayham"/>
    <s v="Almusaa"/>
    <s v="AyhamAlmusaa"/>
    <s v="Male"/>
    <x v="40"/>
    <x v="3"/>
    <x v="0"/>
    <x v="2"/>
    <x v="1"/>
    <s v="South"/>
    <n v="2129"/>
    <n v="25548"/>
    <n v="4.5"/>
    <s v="HIGH"/>
    <n v="0"/>
    <n v="0"/>
    <n v="26"/>
  </r>
  <r>
    <n v="42"/>
    <s v="Abd Allatif"/>
    <s v="Mabrukh"/>
    <s v="Abd AllatifMabrukh"/>
    <s v="Male"/>
    <x v="41"/>
    <x v="1"/>
    <x v="0"/>
    <x v="8"/>
    <x v="0"/>
    <s v="North"/>
    <n v="3344"/>
    <n v="40128"/>
    <n v="5"/>
    <s v="HIGH"/>
    <n v="0"/>
    <n v="0"/>
    <n v="7"/>
  </r>
  <r>
    <n v="43"/>
    <s v="Salim"/>
    <s v="Abumaeun"/>
    <s v="SalimAbumaeun"/>
    <s v="Male"/>
    <x v="42"/>
    <x v="2"/>
    <x v="1"/>
    <x v="5"/>
    <x v="2"/>
    <s v="Main"/>
    <n v="2836"/>
    <n v="34032"/>
    <n v="5"/>
    <s v="HIGH"/>
    <n v="0"/>
    <n v="0"/>
    <n v="14"/>
  </r>
  <r>
    <n v="44"/>
    <s v="Rafat"/>
    <s v="Hamza"/>
    <s v="RafatHamza"/>
    <s v="Male"/>
    <x v="43"/>
    <x v="1"/>
    <x v="0"/>
    <x v="0"/>
    <x v="1"/>
    <s v="Main"/>
    <n v="1960"/>
    <n v="23520"/>
    <n v="3"/>
    <s v="MEDIUM"/>
    <n v="0"/>
    <n v="0"/>
    <n v="9"/>
  </r>
  <r>
    <n v="45"/>
    <s v="Ahmad"/>
    <s v="Laylana"/>
    <s v="AhmadLaylana"/>
    <s v="Male"/>
    <x v="44"/>
    <x v="5"/>
    <x v="1"/>
    <x v="8"/>
    <x v="0"/>
    <s v="Main"/>
    <n v="1478"/>
    <n v="17736"/>
    <n v="4.5"/>
    <s v="HIGH"/>
    <n v="5"/>
    <n v="6"/>
    <n v="7"/>
  </r>
  <r>
    <n v="46"/>
    <s v="Lobnaa"/>
    <s v="Khalifih"/>
    <s v="LobnaaKhalifih"/>
    <s v="Female"/>
    <x v="45"/>
    <x v="3"/>
    <x v="0"/>
    <x v="9"/>
    <x v="2"/>
    <s v="North"/>
    <n v="1981"/>
    <n v="23772"/>
    <n v="2"/>
    <s v="LOW"/>
    <n v="0"/>
    <n v="0"/>
    <n v="3"/>
  </r>
  <r>
    <n v="47"/>
    <s v="Sami"/>
    <s v="Alkhujih"/>
    <s v="SamiAlkhujih"/>
    <s v="Male"/>
    <x v="46"/>
    <x v="3"/>
    <x v="0"/>
    <x v="15"/>
    <x v="2"/>
    <s v="Main"/>
    <n v="2064"/>
    <n v="24768"/>
    <n v="2"/>
    <s v="LOW"/>
    <n v="0"/>
    <n v="0"/>
    <n v="0"/>
  </r>
  <r>
    <n v="48"/>
    <s v="Salam"/>
    <s v="Alealbi"/>
    <s v="SalamAlealbi"/>
    <s v="Female"/>
    <x v="47"/>
    <x v="4"/>
    <x v="1"/>
    <x v="2"/>
    <x v="0"/>
    <s v="Main"/>
    <n v="1045"/>
    <n v="12540"/>
    <n v="5"/>
    <s v="HIGH"/>
    <n v="1"/>
    <n v="0"/>
    <n v="3"/>
  </r>
  <r>
    <n v="49"/>
    <s v="Rim"/>
    <s v="Almusaa"/>
    <s v="RimAlmusaa"/>
    <s v="Female"/>
    <x v="48"/>
    <x v="1"/>
    <x v="0"/>
    <x v="2"/>
    <x v="0"/>
    <s v="West"/>
    <n v="2022"/>
    <n v="24264"/>
    <n v="3"/>
    <s v="MEDIUM"/>
    <n v="0"/>
    <n v="0"/>
    <n v="1"/>
  </r>
  <r>
    <n v="50"/>
    <s v="Ghada"/>
    <s v="Aleasimii"/>
    <s v="GhadaAleasimii"/>
    <s v="Female"/>
    <x v="49"/>
    <x v="3"/>
    <x v="0"/>
    <x v="12"/>
    <x v="0"/>
    <s v="North"/>
    <n v="2383"/>
    <n v="28596"/>
    <n v="5"/>
    <s v="HIGH"/>
    <n v="0"/>
    <n v="4"/>
    <n v="1"/>
  </r>
  <r>
    <n v="51"/>
    <s v="Abd Alwahhab"/>
    <s v="Muhamad"/>
    <s v="Abd AlwahhabMuhamad"/>
    <s v="Male"/>
    <x v="50"/>
    <x v="0"/>
    <x v="0"/>
    <x v="2"/>
    <x v="0"/>
    <s v="West"/>
    <n v="1563"/>
    <n v="18756"/>
    <n v="3"/>
    <s v="MEDIUM"/>
    <n v="3"/>
    <n v="0"/>
    <n v="1"/>
  </r>
  <r>
    <n v="52"/>
    <s v="Ayman"/>
    <s v="Eubayd"/>
    <s v="AymanEubayd"/>
    <s v="Male"/>
    <x v="51"/>
    <x v="3"/>
    <x v="0"/>
    <x v="4"/>
    <x v="1"/>
    <s v="West"/>
    <n v="919"/>
    <n v="11028"/>
    <n v="2"/>
    <s v="LOW"/>
    <n v="0"/>
    <n v="0"/>
    <n v="10"/>
  </r>
  <r>
    <n v="53"/>
    <s v="Faras"/>
    <s v="Karim"/>
    <s v="FarasKarim"/>
    <s v="Male"/>
    <x v="52"/>
    <x v="1"/>
    <x v="0"/>
    <x v="12"/>
    <x v="0"/>
    <s v="Main"/>
    <n v="988"/>
    <n v="11856"/>
    <n v="5"/>
    <s v="HIGH"/>
    <n v="0"/>
    <n v="0"/>
    <n v="5"/>
  </r>
  <r>
    <n v="54"/>
    <s v="Shadi"/>
    <s v="Salayk"/>
    <s v="ShadiSalayk"/>
    <s v="Male"/>
    <x v="53"/>
    <x v="0"/>
    <x v="0"/>
    <x v="12"/>
    <x v="2"/>
    <s v="North"/>
    <n v="2631"/>
    <n v="31572"/>
    <n v="3"/>
    <s v="MEDIUM"/>
    <n v="3"/>
    <n v="6"/>
    <n v="10"/>
  </r>
  <r>
    <n v="55"/>
    <s v="Eubay"/>
    <s v="Alttahir"/>
    <s v="EubayAlttahir"/>
    <s v="Male"/>
    <x v="54"/>
    <x v="5"/>
    <x v="1"/>
    <x v="0"/>
    <x v="0"/>
    <s v="North"/>
    <n v="2368"/>
    <n v="28416"/>
    <n v="3"/>
    <s v="MEDIUM"/>
    <n v="6"/>
    <n v="0"/>
    <n v="5"/>
  </r>
  <r>
    <n v="56"/>
    <s v="Abd Alhadi"/>
    <s v="Alzzahir"/>
    <s v="Abd AlhadiAlzzahir"/>
    <s v="Male"/>
    <x v="55"/>
    <x v="2"/>
    <x v="1"/>
    <x v="4"/>
    <x v="0"/>
    <s v="South"/>
    <n v="2679"/>
    <n v="32148"/>
    <n v="3"/>
    <s v="MEDIUM"/>
    <n v="3"/>
    <n v="0"/>
    <n v="85"/>
  </r>
  <r>
    <n v="57"/>
    <s v="Majdulin"/>
    <s v="Ashbrh"/>
    <s v="MajdulinAshbrh"/>
    <s v="Female"/>
    <x v="56"/>
    <x v="0"/>
    <x v="0"/>
    <x v="5"/>
    <x v="0"/>
    <s v="Main"/>
    <n v="2423"/>
    <n v="29076"/>
    <n v="3"/>
    <s v="MEDIUM"/>
    <n v="5"/>
    <n v="0"/>
    <n v="10"/>
  </r>
  <r>
    <n v="58"/>
    <s v="Aylyn"/>
    <s v="Dahadal"/>
    <s v="AylynDahadal"/>
    <s v="Female"/>
    <x v="57"/>
    <x v="3"/>
    <x v="0"/>
    <x v="12"/>
    <x v="0"/>
    <s v="West"/>
    <n v="2115"/>
    <n v="25380"/>
    <n v="5"/>
    <s v="HIGH"/>
    <n v="0"/>
    <n v="0"/>
    <n v="0"/>
  </r>
  <r>
    <n v="59"/>
    <s v="Tala"/>
    <s v="Tuish"/>
    <s v="TalaTuish"/>
    <s v="Female"/>
    <x v="58"/>
    <x v="3"/>
    <x v="0"/>
    <x v="3"/>
    <x v="2"/>
    <s v="North"/>
    <n v="2969"/>
    <n v="35628"/>
    <n v="1"/>
    <s v="LOW"/>
    <n v="0"/>
    <n v="0"/>
    <n v="11"/>
  </r>
  <r>
    <n v="60"/>
    <s v="Muhamad"/>
    <s v="Qarh"/>
    <s v="MuhamadQarh"/>
    <s v="Male"/>
    <x v="59"/>
    <x v="3"/>
    <x v="0"/>
    <x v="11"/>
    <x v="0"/>
    <s v="North"/>
    <n v="2467"/>
    <n v="29604"/>
    <n v="3"/>
    <s v="MEDIUM"/>
    <n v="0"/>
    <n v="0"/>
    <n v="7"/>
  </r>
  <r>
    <n v="61"/>
    <s v="Eala"/>
    <s v="Almisri"/>
    <s v="EalaAlmisri"/>
    <s v="Female"/>
    <x v="60"/>
    <x v="3"/>
    <x v="0"/>
    <x v="8"/>
    <x v="0"/>
    <s v="Main"/>
    <n v="3244"/>
    <n v="38928"/>
    <n v="3"/>
    <s v="MEDIUM"/>
    <n v="0"/>
    <n v="0"/>
    <n v="10"/>
  </r>
  <r>
    <n v="62"/>
    <s v="Muhamad"/>
    <s v="Alzaybq"/>
    <s v="MuhamadAlzaybq"/>
    <s v="Male"/>
    <x v="61"/>
    <x v="0"/>
    <x v="0"/>
    <x v="16"/>
    <x v="0"/>
    <s v="Main"/>
    <n v="2132"/>
    <n v="25584"/>
    <n v="3"/>
    <s v="MEDIUM"/>
    <n v="5"/>
    <n v="0"/>
    <n v="2"/>
  </r>
  <r>
    <n v="63"/>
    <s v="Muhamad"/>
    <s v="Asamy"/>
    <s v="MuhamadAsamy"/>
    <s v="Male"/>
    <x v="62"/>
    <x v="5"/>
    <x v="1"/>
    <x v="2"/>
    <x v="2"/>
    <s v="North"/>
    <n v="994"/>
    <n v="11928"/>
    <n v="3"/>
    <s v="MEDIUM"/>
    <n v="6"/>
    <n v="4"/>
    <n v="0"/>
  </r>
  <r>
    <n v="64"/>
    <s v="Ahmad"/>
    <s v="Alealbi"/>
    <s v="AhmadAlealbi"/>
    <s v="Male"/>
    <x v="63"/>
    <x v="4"/>
    <x v="1"/>
    <x v="7"/>
    <x v="0"/>
    <s v="North"/>
    <n v="2304"/>
    <n v="27648"/>
    <n v="5"/>
    <s v="HIGH"/>
    <n v="5"/>
    <n v="0"/>
    <n v="2"/>
  </r>
  <r>
    <n v="65"/>
    <s v="Ibrahim"/>
    <s v="Almasri"/>
    <s v="IbrahimAlmasri"/>
    <s v="Male"/>
    <x v="64"/>
    <x v="0"/>
    <x v="0"/>
    <x v="12"/>
    <x v="0"/>
    <s v="Main"/>
    <n v="1207"/>
    <n v="14484"/>
    <n v="2"/>
    <s v="LOW"/>
    <n v="0"/>
    <n v="0"/>
    <n v="50"/>
  </r>
  <r>
    <n v="66"/>
    <s v="Hamdah"/>
    <s v="Alkhalifa"/>
    <s v="HamdahAlkhalifa"/>
    <s v="Male"/>
    <x v="65"/>
    <x v="3"/>
    <x v="0"/>
    <x v="2"/>
    <x v="3"/>
    <s v="North"/>
    <n v="802"/>
    <n v="9624"/>
    <n v="4.5"/>
    <s v="HIGH"/>
    <n v="2"/>
    <n v="0"/>
    <n v="3"/>
  </r>
  <r>
    <n v="67"/>
    <s v="Muhamad"/>
    <s v="Jawish"/>
    <s v="MuhamadJawish"/>
    <s v="Male"/>
    <x v="66"/>
    <x v="3"/>
    <x v="0"/>
    <x v="9"/>
    <x v="2"/>
    <s v="North"/>
    <n v="2065"/>
    <n v="24780"/>
    <n v="3"/>
    <s v="MEDIUM"/>
    <n v="4"/>
    <n v="3"/>
    <n v="4"/>
  </r>
  <r>
    <n v="68"/>
    <s v="Muwmin"/>
    <s v="Almudhin"/>
    <s v="MuwminAlmudhin"/>
    <s v="Male"/>
    <x v="67"/>
    <x v="1"/>
    <x v="0"/>
    <x v="7"/>
    <x v="0"/>
    <s v="West"/>
    <n v="2882"/>
    <n v="34584"/>
    <n v="5"/>
    <s v="HIGH"/>
    <n v="0"/>
    <n v="4"/>
    <n v="0"/>
  </r>
  <r>
    <n v="69"/>
    <s v="Ahmad"/>
    <s v="Zayd"/>
    <s v="AhmadZayd"/>
    <s v="Male"/>
    <x v="38"/>
    <x v="0"/>
    <x v="0"/>
    <x v="5"/>
    <x v="0"/>
    <s v="North"/>
    <n v="2042"/>
    <n v="24504"/>
    <n v="5"/>
    <s v="HIGH"/>
    <n v="0"/>
    <n v="3"/>
    <n v="64"/>
  </r>
  <r>
    <n v="70"/>
    <s v="Layzaan"/>
    <s v="Nabulsi"/>
    <s v="LayzaanNabulsi"/>
    <s v="Male"/>
    <x v="68"/>
    <x v="3"/>
    <x v="0"/>
    <x v="8"/>
    <x v="1"/>
    <s v="West"/>
    <n v="2017"/>
    <n v="24204"/>
    <n v="3"/>
    <s v="MEDIUM"/>
    <n v="6"/>
    <n v="0"/>
    <n v="8"/>
  </r>
  <r>
    <n v="71"/>
    <s v="Sarih"/>
    <s v="Eammar"/>
    <s v="SarihEammar"/>
    <s v="Male"/>
    <x v="69"/>
    <x v="0"/>
    <x v="0"/>
    <x v="12"/>
    <x v="3"/>
    <s v="Main"/>
    <n v="3215"/>
    <n v="38580"/>
    <n v="2"/>
    <s v="LOW"/>
    <n v="5"/>
    <n v="0"/>
    <n v="2"/>
  </r>
  <r>
    <n v="72"/>
    <s v="Karam"/>
    <s v="Hutayniun"/>
    <s v="KaramHutayniun"/>
    <s v="Male"/>
    <x v="70"/>
    <x v="5"/>
    <x v="1"/>
    <x v="2"/>
    <x v="2"/>
    <s v="North"/>
    <n v="2957"/>
    <n v="35484"/>
    <n v="5"/>
    <s v="HIGH"/>
    <n v="1"/>
    <n v="0"/>
    <n v="10"/>
  </r>
  <r>
    <n v="73"/>
    <s v="Shahad"/>
    <s v="Shanan"/>
    <s v="ShahadShanan"/>
    <s v="Female"/>
    <x v="19"/>
    <x v="3"/>
    <x v="0"/>
    <x v="3"/>
    <x v="3"/>
    <s v="North"/>
    <n v="891"/>
    <n v="10692"/>
    <n v="3"/>
    <s v="MEDIUM"/>
    <n v="0"/>
    <n v="2"/>
    <n v="6"/>
  </r>
  <r>
    <n v="74"/>
    <s v="Salah"/>
    <s v="Ramadan"/>
    <s v="SalahRamadan"/>
    <s v="Male"/>
    <x v="71"/>
    <x v="0"/>
    <x v="0"/>
    <x v="17"/>
    <x v="2"/>
    <s v="North"/>
    <n v="1971"/>
    <n v="23652"/>
    <n v="4.5"/>
    <s v="HIGH"/>
    <n v="5"/>
    <n v="1"/>
    <n v="0"/>
  </r>
  <r>
    <n v="75"/>
    <s v="Sami"/>
    <s v="Alkhayrat"/>
    <s v="SamiAlkhayrat"/>
    <s v="Male"/>
    <x v="72"/>
    <x v="1"/>
    <x v="0"/>
    <x v="8"/>
    <x v="2"/>
    <s v="West"/>
    <n v="2317"/>
    <n v="27804"/>
    <n v="3"/>
    <s v="MEDIUM"/>
    <n v="6"/>
    <n v="1"/>
    <n v="10"/>
  </r>
  <r>
    <n v="76"/>
    <s v="Khalid"/>
    <s v="Snan"/>
    <s v="KhalidSnan"/>
    <s v="Male"/>
    <x v="73"/>
    <x v="3"/>
    <x v="0"/>
    <x v="2"/>
    <x v="0"/>
    <s v="South"/>
    <n v="1657"/>
    <n v="19884"/>
    <n v="3"/>
    <s v="MEDIUM"/>
    <n v="0"/>
    <n v="0"/>
    <n v="12"/>
  </r>
  <r>
    <n v="77"/>
    <s v="Salam"/>
    <s v="Alkhatib"/>
    <s v="SalamAlkhatib"/>
    <s v="Male"/>
    <x v="74"/>
    <x v="0"/>
    <x v="0"/>
    <x v="2"/>
    <x v="0"/>
    <s v="West"/>
    <n v="3053"/>
    <n v="36636"/>
    <n v="3"/>
    <s v="MEDIUM"/>
    <n v="0"/>
    <n v="3"/>
    <n v="6"/>
  </r>
  <r>
    <n v="78"/>
    <s v="Darar"/>
    <s v="Alshiyraziu"/>
    <s v="DararAlshiyraziu"/>
    <s v="Male"/>
    <x v="75"/>
    <x v="3"/>
    <x v="0"/>
    <x v="2"/>
    <x v="2"/>
    <s v="West"/>
    <n v="1887"/>
    <n v="22644"/>
    <n v="1"/>
    <s v="LOW"/>
    <n v="6"/>
    <n v="0"/>
    <n v="4"/>
  </r>
  <r>
    <n v="79"/>
    <s v="Mazin"/>
    <s v="Yusif"/>
    <s v="MazinYusif"/>
    <s v="Male"/>
    <x v="76"/>
    <x v="0"/>
    <x v="0"/>
    <x v="2"/>
    <x v="2"/>
    <s v="Main"/>
    <n v="1457"/>
    <n v="17484"/>
    <n v="4.5"/>
    <s v="HIGH"/>
    <n v="0"/>
    <n v="0"/>
    <n v="9"/>
  </r>
  <r>
    <n v="80"/>
    <s v="Rasha"/>
    <s v="Naeim"/>
    <s v="RashaNaeim"/>
    <s v="Female"/>
    <x v="77"/>
    <x v="3"/>
    <x v="0"/>
    <x v="0"/>
    <x v="0"/>
    <s v="Main"/>
    <n v="2581"/>
    <n v="30972"/>
    <n v="5"/>
    <s v="HIGH"/>
    <n v="0"/>
    <n v="0"/>
    <n v="8"/>
  </r>
  <r>
    <n v="81"/>
    <s v="Eamra"/>
    <s v="Alshueranii"/>
    <s v="EamraAlshueranii"/>
    <s v="Female"/>
    <x v="78"/>
    <x v="5"/>
    <x v="1"/>
    <x v="7"/>
    <x v="2"/>
    <s v="North"/>
    <n v="901"/>
    <n v="10812"/>
    <n v="5"/>
    <s v="HIGH"/>
    <n v="0"/>
    <n v="2"/>
    <n v="10"/>
  </r>
  <r>
    <n v="82"/>
    <s v="Amira"/>
    <s v="Akrym"/>
    <s v="AmiraAkrym"/>
    <s v="Female"/>
    <x v="79"/>
    <x v="5"/>
    <x v="1"/>
    <x v="5"/>
    <x v="2"/>
    <s v="Main"/>
    <n v="898"/>
    <n v="10776"/>
    <n v="4.5"/>
    <s v="HIGH"/>
    <n v="3"/>
    <n v="0"/>
    <n v="11"/>
  </r>
  <r>
    <n v="83"/>
    <s v="Muhamad"/>
    <s v="Hamzat"/>
    <s v="MuhamadHamzat"/>
    <s v="Male"/>
    <x v="80"/>
    <x v="1"/>
    <x v="0"/>
    <x v="5"/>
    <x v="0"/>
    <s v="West"/>
    <n v="2878"/>
    <n v="34536"/>
    <n v="3"/>
    <s v="MEDIUM"/>
    <n v="0"/>
    <n v="0"/>
    <n v="2"/>
  </r>
  <r>
    <n v="84"/>
    <s v="Muhamad"/>
    <s v="Khayr"/>
    <s v="MuhamadKhayr"/>
    <s v="Male"/>
    <x v="10"/>
    <x v="2"/>
    <x v="1"/>
    <x v="14"/>
    <x v="0"/>
    <s v="Main"/>
    <n v="2539"/>
    <n v="30468"/>
    <n v="3"/>
    <s v="MEDIUM"/>
    <n v="0"/>
    <n v="0"/>
    <n v="0"/>
  </r>
  <r>
    <n v="85"/>
    <s v="Abd Almalik"/>
    <s v="Nazal"/>
    <s v="Abd AlmalikNazal"/>
    <s v="Male"/>
    <x v="81"/>
    <x v="0"/>
    <x v="0"/>
    <x v="0"/>
    <x v="0"/>
    <s v="North"/>
    <n v="2533"/>
    <n v="30396"/>
    <n v="5"/>
    <s v="HIGH"/>
    <n v="0"/>
    <n v="0"/>
    <n v="2"/>
  </r>
  <r>
    <n v="86"/>
    <s v="Rabya"/>
    <s v="Kiwan"/>
    <s v="RabyaKiwan"/>
    <s v="Female"/>
    <x v="82"/>
    <x v="0"/>
    <x v="0"/>
    <x v="11"/>
    <x v="0"/>
    <s v="West"/>
    <n v="885"/>
    <n v="10620"/>
    <n v="3"/>
    <s v="MEDIUM"/>
    <n v="0"/>
    <n v="0"/>
    <n v="3"/>
  </r>
  <r>
    <n v="87"/>
    <s v="Muhamad"/>
    <s v="Khayr"/>
    <s v="MuhamadKhayr"/>
    <s v="Male"/>
    <x v="83"/>
    <x v="3"/>
    <x v="0"/>
    <x v="8"/>
    <x v="2"/>
    <s v="West"/>
    <n v="1166"/>
    <n v="13992"/>
    <n v="5"/>
    <s v="HIGH"/>
    <n v="0"/>
    <n v="4"/>
    <n v="5"/>
  </r>
  <r>
    <n v="88"/>
    <s v="Samah"/>
    <s v="Almaydanii"/>
    <s v="SamahAlmaydanii"/>
    <s v="Female"/>
    <x v="84"/>
    <x v="2"/>
    <x v="1"/>
    <x v="5"/>
    <x v="2"/>
    <s v="West"/>
    <n v="2022"/>
    <n v="24264"/>
    <n v="5"/>
    <s v="HIGH"/>
    <n v="0"/>
    <n v="0"/>
    <n v="3"/>
  </r>
  <r>
    <n v="89"/>
    <s v="Ali"/>
    <s v="Watar"/>
    <s v="AliWatar"/>
    <s v="Male"/>
    <x v="85"/>
    <x v="3"/>
    <x v="0"/>
    <x v="11"/>
    <x v="0"/>
    <s v="Main"/>
    <n v="1752"/>
    <n v="21024"/>
    <n v="2"/>
    <s v="LOW"/>
    <n v="5"/>
    <n v="4"/>
    <n v="76"/>
  </r>
  <r>
    <n v="90"/>
    <s v="Darin"/>
    <s v="Ghunum"/>
    <s v="DarinGhunum"/>
    <s v="Female"/>
    <x v="86"/>
    <x v="3"/>
    <x v="0"/>
    <x v="7"/>
    <x v="0"/>
    <s v="Main"/>
    <n v="3157"/>
    <n v="37884"/>
    <n v="1"/>
    <s v="LOW"/>
    <n v="6"/>
    <n v="1"/>
    <n v="4"/>
  </r>
  <r>
    <n v="91"/>
    <s v="Faras"/>
    <s v="Alhamal"/>
    <s v="FarasAlhamal"/>
    <s v="Male"/>
    <x v="87"/>
    <x v="1"/>
    <x v="0"/>
    <x v="0"/>
    <x v="0"/>
    <s v="Main"/>
    <n v="3211"/>
    <n v="38532"/>
    <n v="5"/>
    <s v="HIGH"/>
    <n v="6"/>
    <n v="1"/>
    <n v="9"/>
  </r>
  <r>
    <n v="92"/>
    <s v="Amal"/>
    <s v="Asamy"/>
    <s v="AmalAsamy"/>
    <s v="Female"/>
    <x v="88"/>
    <x v="0"/>
    <x v="0"/>
    <x v="12"/>
    <x v="0"/>
    <s v="North"/>
    <n v="1062"/>
    <n v="12744"/>
    <n v="3"/>
    <s v="MEDIUM"/>
    <n v="1"/>
    <n v="0"/>
    <n v="7"/>
  </r>
  <r>
    <n v="93"/>
    <s v="Razan"/>
    <s v="AlAhmad"/>
    <s v="RazanAlAhmad"/>
    <s v="Female"/>
    <x v="89"/>
    <x v="3"/>
    <x v="0"/>
    <x v="8"/>
    <x v="0"/>
    <s v="Main"/>
    <n v="1406"/>
    <n v="16872"/>
    <n v="4.5"/>
    <s v="HIGH"/>
    <n v="4"/>
    <n v="0"/>
    <n v="46"/>
  </r>
  <r>
    <n v="94"/>
    <s v="Muhamad"/>
    <s v="Kharasah"/>
    <s v="MuhamadKharasah"/>
    <s v="Male"/>
    <x v="90"/>
    <x v="3"/>
    <x v="0"/>
    <x v="14"/>
    <x v="2"/>
    <s v="West"/>
    <n v="3084"/>
    <n v="37008"/>
    <n v="3"/>
    <s v="MEDIUM"/>
    <n v="6"/>
    <n v="0"/>
    <n v="3"/>
  </r>
  <r>
    <n v="95"/>
    <s v="Tariq"/>
    <s v="Bryghl"/>
    <s v="TariqBryghl"/>
    <s v="Male"/>
    <x v="91"/>
    <x v="1"/>
    <x v="0"/>
    <x v="9"/>
    <x v="0"/>
    <s v="Main"/>
    <n v="1815"/>
    <n v="21780"/>
    <n v="4.5"/>
    <s v="HIGH"/>
    <n v="1"/>
    <n v="0"/>
    <n v="9"/>
  </r>
  <r>
    <n v="96"/>
    <s v="Muhamad"/>
    <s v="Husayn"/>
    <s v="MuhamadHusayn"/>
    <s v="Male"/>
    <x v="92"/>
    <x v="2"/>
    <x v="1"/>
    <x v="7"/>
    <x v="2"/>
    <s v="Main"/>
    <n v="1861"/>
    <n v="22332"/>
    <n v="3"/>
    <s v="MEDIUM"/>
    <n v="0"/>
    <n v="5"/>
    <n v="9"/>
  </r>
  <r>
    <n v="97"/>
    <s v="Fadi"/>
    <s v="Aleid"/>
    <s v="FadiAleid"/>
    <s v="Male"/>
    <x v="93"/>
    <x v="0"/>
    <x v="0"/>
    <x v="2"/>
    <x v="2"/>
    <s v="North"/>
    <n v="3088"/>
    <n v="37056"/>
    <n v="5"/>
    <s v="HIGH"/>
    <n v="3"/>
    <n v="0"/>
    <n v="10"/>
  </r>
  <r>
    <n v="98"/>
    <s v="Tariq"/>
    <s v="Abuzahir"/>
    <s v="TariqAbuzahir"/>
    <s v="Male"/>
    <x v="32"/>
    <x v="2"/>
    <x v="1"/>
    <x v="18"/>
    <x v="3"/>
    <s v="Main"/>
    <n v="3071"/>
    <n v="36852"/>
    <n v="5"/>
    <s v="HIGH"/>
    <n v="6"/>
    <n v="0"/>
    <n v="2"/>
  </r>
  <r>
    <n v="99"/>
    <s v="Mazin"/>
    <s v="Eubayd"/>
    <s v="MazinEubayd"/>
    <s v="Male"/>
    <x v="94"/>
    <x v="0"/>
    <x v="0"/>
    <x v="2"/>
    <x v="2"/>
    <s v="North"/>
    <n v="3298"/>
    <n v="39576"/>
    <n v="3"/>
    <s v="MEDIUM"/>
    <n v="0"/>
    <n v="0"/>
    <n v="9"/>
  </r>
  <r>
    <n v="100"/>
    <s v="Lina"/>
    <s v="Aljabr"/>
    <s v="LinaAljabr"/>
    <s v="Female"/>
    <x v="71"/>
    <x v="0"/>
    <x v="0"/>
    <x v="3"/>
    <x v="1"/>
    <s v="North"/>
    <n v="828"/>
    <n v="9936"/>
    <n v="5"/>
    <s v="HIGH"/>
    <n v="0"/>
    <n v="0"/>
    <n v="10"/>
  </r>
  <r>
    <n v="101"/>
    <s v="Muhamad"/>
    <s v="Ayman"/>
    <s v="MuhamadAyman"/>
    <s v="Male"/>
    <x v="95"/>
    <x v="3"/>
    <x v="0"/>
    <x v="2"/>
    <x v="0"/>
    <s v="North"/>
    <n v="2404"/>
    <n v="28848"/>
    <n v="4.5"/>
    <s v="HIGH"/>
    <n v="0"/>
    <n v="0"/>
    <n v="99"/>
  </r>
  <r>
    <n v="102"/>
    <s v="Ayman"/>
    <s v="Muhamad"/>
    <s v="AymanMuhamad"/>
    <s v="Male"/>
    <x v="19"/>
    <x v="3"/>
    <x v="0"/>
    <x v="9"/>
    <x v="0"/>
    <s v="South"/>
    <n v="3410"/>
    <n v="40920"/>
    <n v="3"/>
    <s v="MEDIUM"/>
    <n v="2"/>
    <n v="0"/>
    <n v="8"/>
  </r>
  <r>
    <n v="103"/>
    <s v="Ahmad"/>
    <s v="Abu Eadlh"/>
    <s v="AhmadAbu Eadlh"/>
    <s v="Male"/>
    <x v="96"/>
    <x v="3"/>
    <x v="0"/>
    <x v="3"/>
    <x v="2"/>
    <s v="Main"/>
    <n v="1817"/>
    <n v="21804"/>
    <n v="5"/>
    <s v="HIGH"/>
    <n v="1"/>
    <n v="0"/>
    <n v="1"/>
  </r>
  <r>
    <n v="104"/>
    <s v="Rami"/>
    <s v="Abu Adhan"/>
    <s v="RamiAbu Adhan"/>
    <s v="Male"/>
    <x v="97"/>
    <x v="3"/>
    <x v="0"/>
    <x v="2"/>
    <x v="3"/>
    <s v="Main"/>
    <n v="2923"/>
    <n v="35076"/>
    <n v="2"/>
    <s v="LOW"/>
    <n v="0"/>
    <n v="0"/>
    <n v="0"/>
  </r>
  <r>
    <n v="105"/>
    <s v="Muhamad"/>
    <s v="Hamzat"/>
    <s v="MuhamadHamzat"/>
    <s v="Male"/>
    <x v="98"/>
    <x v="0"/>
    <x v="0"/>
    <x v="13"/>
    <x v="0"/>
    <s v="South"/>
    <n v="3138"/>
    <n v="37656"/>
    <n v="5"/>
    <s v="HIGH"/>
    <n v="6"/>
    <n v="0"/>
    <n v="10"/>
  </r>
  <r>
    <n v="106"/>
    <s v="Ehab"/>
    <s v="Alkhibaz"/>
    <s v="EhabAlkhibaz"/>
    <s v="Male"/>
    <x v="99"/>
    <x v="1"/>
    <x v="0"/>
    <x v="5"/>
    <x v="0"/>
    <s v="North"/>
    <n v="3139"/>
    <n v="37668"/>
    <n v="3"/>
    <s v="MEDIUM"/>
    <n v="0"/>
    <n v="0"/>
    <n v="10"/>
  </r>
  <r>
    <n v="107"/>
    <s v="Ibrahim"/>
    <s v="Nabulsi"/>
    <s v="IbrahimNabulsi"/>
    <s v="Male"/>
    <x v="100"/>
    <x v="5"/>
    <x v="1"/>
    <x v="11"/>
    <x v="2"/>
    <s v="Main"/>
    <n v="3263"/>
    <n v="39156"/>
    <n v="3"/>
    <s v="MEDIUM"/>
    <n v="0"/>
    <n v="0"/>
    <n v="3"/>
  </r>
  <r>
    <n v="108"/>
    <s v="Ranya"/>
    <s v="Salah Aldiyn"/>
    <s v="RanyaSalah Aldiyn"/>
    <s v="Female"/>
    <x v="101"/>
    <x v="0"/>
    <x v="0"/>
    <x v="0"/>
    <x v="2"/>
    <s v="Main"/>
    <n v="1258"/>
    <n v="15096"/>
    <n v="5"/>
    <s v="HIGH"/>
    <n v="0"/>
    <n v="0"/>
    <n v="5"/>
  </r>
  <r>
    <n v="109"/>
    <s v="Juri"/>
    <s v="Zaytun"/>
    <s v="JuriZaytun"/>
    <s v="Female"/>
    <x v="102"/>
    <x v="1"/>
    <x v="0"/>
    <x v="9"/>
    <x v="0"/>
    <s v="North"/>
    <n v="2527"/>
    <n v="30324"/>
    <n v="3"/>
    <s v="MEDIUM"/>
    <n v="3"/>
    <n v="0"/>
    <n v="16"/>
  </r>
  <r>
    <n v="110"/>
    <s v="Sahar"/>
    <s v="Almuhamad"/>
    <s v="SaharAlmuhamad"/>
    <s v="Female"/>
    <x v="103"/>
    <x v="0"/>
    <x v="0"/>
    <x v="9"/>
    <x v="0"/>
    <s v="Main"/>
    <n v="3017"/>
    <n v="36204"/>
    <n v="4.5"/>
    <s v="HIGH"/>
    <n v="0"/>
    <n v="4"/>
    <n v="4"/>
  </r>
  <r>
    <n v="111"/>
    <s v="Mari"/>
    <s v="Ayly"/>
    <s v="MariAyly"/>
    <s v="Female"/>
    <x v="104"/>
    <x v="5"/>
    <x v="1"/>
    <x v="5"/>
    <x v="1"/>
    <s v="North"/>
    <n v="1639"/>
    <n v="19668"/>
    <n v="5"/>
    <s v="HIGH"/>
    <n v="0"/>
    <n v="0"/>
    <n v="2"/>
  </r>
  <r>
    <n v="112"/>
    <s v="Ali"/>
    <s v="Alhuri"/>
    <s v="AliAlhuri"/>
    <s v="Male"/>
    <x v="105"/>
    <x v="3"/>
    <x v="0"/>
    <x v="7"/>
    <x v="0"/>
    <s v="Main"/>
    <n v="1867"/>
    <n v="22404"/>
    <n v="3"/>
    <s v="MEDIUM"/>
    <n v="1"/>
    <n v="0"/>
    <n v="3"/>
  </r>
  <r>
    <n v="113"/>
    <s v="Dania"/>
    <s v="Almala"/>
    <s v="DaniaAlmala"/>
    <s v="Female"/>
    <x v="106"/>
    <x v="5"/>
    <x v="1"/>
    <x v="12"/>
    <x v="2"/>
    <s v="Main"/>
    <n v="2314"/>
    <n v="27768"/>
    <n v="2"/>
    <s v="LOW"/>
    <n v="0"/>
    <n v="3"/>
    <n v="5"/>
  </r>
  <r>
    <n v="114"/>
    <s v="Rym"/>
    <s v="Alsydawi"/>
    <s v="RymAlsydawi"/>
    <s v="Female"/>
    <x v="107"/>
    <x v="5"/>
    <x v="1"/>
    <x v="0"/>
    <x v="1"/>
    <s v="Main"/>
    <n v="2679"/>
    <n v="32148"/>
    <n v="5"/>
    <s v="HIGH"/>
    <n v="6"/>
    <n v="0"/>
    <n v="1"/>
  </r>
  <r>
    <n v="115"/>
    <s v="Mahir"/>
    <s v="Alshear"/>
    <s v="MahirAlshear"/>
    <s v="Male"/>
    <x v="108"/>
    <x v="3"/>
    <x v="0"/>
    <x v="0"/>
    <x v="0"/>
    <s v="North"/>
    <n v="3166"/>
    <n v="37992"/>
    <n v="4.5"/>
    <s v="HIGH"/>
    <n v="5"/>
    <n v="0"/>
    <n v="4"/>
  </r>
  <r>
    <n v="116"/>
    <s v="Ibrahim"/>
    <s v="Alhamid"/>
    <s v="IbrahimAlhamid"/>
    <s v="Male"/>
    <x v="109"/>
    <x v="0"/>
    <x v="0"/>
    <x v="2"/>
    <x v="2"/>
    <s v="Main"/>
    <n v="2429"/>
    <n v="29148"/>
    <n v="5"/>
    <s v="HIGH"/>
    <n v="0"/>
    <n v="0"/>
    <n v="7"/>
  </r>
  <r>
    <n v="117"/>
    <s v="Muhamad"/>
    <s v="Alkhayr"/>
    <s v="MuhamadAlkhayr"/>
    <s v="Male"/>
    <x v="110"/>
    <x v="3"/>
    <x v="0"/>
    <x v="2"/>
    <x v="2"/>
    <s v="Main"/>
    <n v="1865"/>
    <n v="22380"/>
    <n v="4.5"/>
    <s v="HIGH"/>
    <n v="0"/>
    <n v="0"/>
    <n v="4"/>
  </r>
  <r>
    <n v="118"/>
    <s v="Muhamad"/>
    <s v="Bashshar"/>
    <s v="MuhamadBashshar"/>
    <s v="Male"/>
    <x v="111"/>
    <x v="2"/>
    <x v="1"/>
    <x v="5"/>
    <x v="2"/>
    <s v="South"/>
    <n v="868"/>
    <n v="10416"/>
    <n v="4.5"/>
    <s v="HIGH"/>
    <n v="2"/>
    <n v="0"/>
    <n v="2"/>
  </r>
  <r>
    <n v="119"/>
    <s v="Muhamad"/>
    <s v="Jhad"/>
    <s v="MuhamadJhad"/>
    <s v="Male"/>
    <x v="112"/>
    <x v="3"/>
    <x v="0"/>
    <x v="2"/>
    <x v="0"/>
    <s v="West"/>
    <n v="3411"/>
    <n v="40932"/>
    <n v="5"/>
    <s v="HIGH"/>
    <n v="4"/>
    <n v="0"/>
    <n v="2"/>
  </r>
  <r>
    <n v="120"/>
    <s v="Limays"/>
    <s v="Ghrz"/>
    <s v="LimaysGhrz"/>
    <s v="Female"/>
    <x v="113"/>
    <x v="5"/>
    <x v="1"/>
    <x v="9"/>
    <x v="3"/>
    <s v="North"/>
    <n v="3324"/>
    <n v="39888"/>
    <n v="3"/>
    <s v="MEDIUM"/>
    <n v="5"/>
    <n v="0"/>
    <n v="7"/>
  </r>
  <r>
    <n v="121"/>
    <s v="Zaydun"/>
    <s v="Jabir"/>
    <s v="ZaydunJabir"/>
    <s v="Male"/>
    <x v="114"/>
    <x v="3"/>
    <x v="0"/>
    <x v="2"/>
    <x v="2"/>
    <s v="Main"/>
    <n v="2715"/>
    <n v="32580"/>
    <n v="1"/>
    <s v="LOW"/>
    <n v="0"/>
    <n v="3"/>
    <n v="3"/>
  </r>
  <r>
    <n v="122"/>
    <s v="Fatima"/>
    <s v="Zaetar"/>
    <s v="FatimaZaetar"/>
    <s v="Female"/>
    <x v="115"/>
    <x v="3"/>
    <x v="0"/>
    <x v="12"/>
    <x v="2"/>
    <s v="West"/>
    <n v="2664"/>
    <n v="31968"/>
    <n v="4.5"/>
    <s v="HIGH"/>
    <n v="1"/>
    <n v="0"/>
    <n v="9"/>
  </r>
  <r>
    <n v="123"/>
    <s v="Tariq"/>
    <s v="Shakir"/>
    <s v="TariqShakir"/>
    <s v="Male"/>
    <x v="116"/>
    <x v="1"/>
    <x v="0"/>
    <x v="0"/>
    <x v="1"/>
    <s v="Main"/>
    <n v="1801"/>
    <n v="21612"/>
    <n v="5"/>
    <s v="HIGH"/>
    <n v="0"/>
    <n v="0"/>
    <n v="82"/>
  </r>
  <r>
    <n v="124"/>
    <s v="Ruyda"/>
    <s v="Alhamadii"/>
    <s v="RuydaAlhamadii"/>
    <s v="Female"/>
    <x v="117"/>
    <x v="2"/>
    <x v="1"/>
    <x v="2"/>
    <x v="2"/>
    <s v="Main"/>
    <n v="1452"/>
    <n v="17424"/>
    <n v="3"/>
    <s v="MEDIUM"/>
    <n v="0"/>
    <n v="0"/>
    <n v="0"/>
  </r>
  <r>
    <n v="125"/>
    <s v="Anwar"/>
    <s v="Almaseud"/>
    <s v="AnwarAlmaseud"/>
    <s v="Male"/>
    <x v="118"/>
    <x v="2"/>
    <x v="1"/>
    <x v="0"/>
    <x v="2"/>
    <s v="North"/>
    <n v="2358"/>
    <n v="28296"/>
    <n v="3"/>
    <s v="MEDIUM"/>
    <n v="0"/>
    <n v="0"/>
    <n v="14"/>
  </r>
  <r>
    <n v="126"/>
    <s v="Fayaruz"/>
    <s v="Sabih"/>
    <s v="FayaruzSabih"/>
    <s v="Female"/>
    <x v="119"/>
    <x v="3"/>
    <x v="0"/>
    <x v="2"/>
    <x v="0"/>
    <s v="North"/>
    <n v="784"/>
    <n v="9408"/>
    <n v="3"/>
    <s v="MEDIUM"/>
    <n v="2"/>
    <n v="3"/>
    <n v="9"/>
  </r>
  <r>
    <n v="127"/>
    <s v="Jwny"/>
    <s v="Alrashid"/>
    <s v="JwnyAlrashid"/>
    <s v="Male"/>
    <x v="120"/>
    <x v="2"/>
    <x v="1"/>
    <x v="2"/>
    <x v="0"/>
    <s v="Main"/>
    <n v="1423"/>
    <n v="17076"/>
    <n v="3"/>
    <s v="MEDIUM"/>
    <n v="0"/>
    <n v="0"/>
    <n v="4"/>
  </r>
  <r>
    <n v="128"/>
    <s v="Karam"/>
    <s v="Kiali"/>
    <s v="KaramKiali"/>
    <s v="Male"/>
    <x v="121"/>
    <x v="0"/>
    <x v="0"/>
    <x v="18"/>
    <x v="2"/>
    <s v="Main"/>
    <n v="2174"/>
    <n v="26088"/>
    <n v="2"/>
    <s v="LOW"/>
    <n v="6"/>
    <n v="0"/>
    <n v="10"/>
  </r>
  <r>
    <n v="129"/>
    <s v="Jamal"/>
    <s v="Alhalib"/>
    <s v="JamalAlhalib"/>
    <s v="Male"/>
    <x v="122"/>
    <x v="1"/>
    <x v="0"/>
    <x v="9"/>
    <x v="0"/>
    <s v="North"/>
    <n v="2182"/>
    <n v="26184"/>
    <n v="4.5"/>
    <s v="HIGH"/>
    <n v="6"/>
    <n v="0"/>
    <n v="74"/>
  </r>
  <r>
    <n v="130"/>
    <s v="Suzan"/>
    <s v="Alsawis"/>
    <s v="SuzanAlsawis"/>
    <s v="Female"/>
    <x v="123"/>
    <x v="3"/>
    <x v="0"/>
    <x v="0"/>
    <x v="0"/>
    <s v="Main"/>
    <n v="2437"/>
    <n v="29244"/>
    <n v="3"/>
    <s v="MEDIUM"/>
    <n v="0"/>
    <n v="0"/>
    <n v="2"/>
  </r>
  <r>
    <n v="131"/>
    <s v="Alaa"/>
    <s v="Efan"/>
    <s v="AlaaEfan"/>
    <s v="Female"/>
    <x v="124"/>
    <x v="3"/>
    <x v="0"/>
    <x v="0"/>
    <x v="0"/>
    <s v="Main"/>
    <n v="926"/>
    <n v="11112"/>
    <n v="2"/>
    <s v="LOW"/>
    <n v="3"/>
    <n v="0"/>
    <n v="1"/>
  </r>
  <r>
    <n v="132"/>
    <s v="Jihad"/>
    <s v="Aldarawasha"/>
    <s v="JihadAldarawasha"/>
    <s v="Male"/>
    <x v="125"/>
    <x v="5"/>
    <x v="1"/>
    <x v="9"/>
    <x v="2"/>
    <s v="West"/>
    <n v="1506"/>
    <n v="18072"/>
    <n v="3"/>
    <s v="MEDIUM"/>
    <n v="0"/>
    <n v="0"/>
    <n v="1"/>
  </r>
  <r>
    <n v="133"/>
    <s v="Muhamad"/>
    <s v="Khalid"/>
    <s v="MuhamadKhalid"/>
    <s v="Male"/>
    <x v="126"/>
    <x v="2"/>
    <x v="1"/>
    <x v="7"/>
    <x v="1"/>
    <s v="North"/>
    <n v="3159"/>
    <n v="37908"/>
    <n v="5"/>
    <s v="HIGH"/>
    <n v="0"/>
    <n v="0"/>
    <n v="10"/>
  </r>
  <r>
    <n v="134"/>
    <s v="Haithim"/>
    <s v="Hujah"/>
    <s v="HaithimHujah"/>
    <s v="Male"/>
    <x v="127"/>
    <x v="2"/>
    <x v="1"/>
    <x v="12"/>
    <x v="3"/>
    <s v="North"/>
    <n v="1117"/>
    <n v="13404"/>
    <n v="1"/>
    <s v="LOW"/>
    <n v="0"/>
    <n v="0"/>
    <n v="3"/>
  </r>
  <r>
    <n v="135"/>
    <s v="Duhana"/>
    <s v="Alakhris"/>
    <s v="DuhanaAlakhris"/>
    <s v="Female"/>
    <x v="128"/>
    <x v="0"/>
    <x v="0"/>
    <x v="0"/>
    <x v="3"/>
    <s v="West"/>
    <n v="2379"/>
    <n v="28548"/>
    <n v="4.5"/>
    <s v="HIGH"/>
    <n v="0"/>
    <n v="0"/>
    <n v="7"/>
  </r>
  <r>
    <n v="136"/>
    <s v="Eazalidin"/>
    <s v="Almala"/>
    <s v="EazalidinAlmala"/>
    <s v="Male"/>
    <x v="73"/>
    <x v="3"/>
    <x v="0"/>
    <x v="2"/>
    <x v="0"/>
    <s v="Main"/>
    <n v="2372"/>
    <n v="28464"/>
    <n v="5"/>
    <s v="HIGH"/>
    <n v="4"/>
    <n v="1"/>
    <n v="6"/>
  </r>
  <r>
    <n v="137"/>
    <s v="Habib"/>
    <s v="Klizli"/>
    <s v="HabibKlizli"/>
    <s v="Male"/>
    <x v="129"/>
    <x v="3"/>
    <x v="0"/>
    <x v="12"/>
    <x v="0"/>
    <s v="North"/>
    <n v="2908"/>
    <n v="34896"/>
    <n v="3"/>
    <s v="MEDIUM"/>
    <n v="0"/>
    <n v="0"/>
    <n v="12"/>
  </r>
  <r>
    <n v="138"/>
    <s v="Rasha"/>
    <s v="Bajubuj"/>
    <s v="RashaBajubuj"/>
    <s v="Female"/>
    <x v="130"/>
    <x v="1"/>
    <x v="0"/>
    <x v="14"/>
    <x v="0"/>
    <s v="Main"/>
    <n v="2019"/>
    <n v="24228"/>
    <n v="3"/>
    <s v="MEDIUM"/>
    <n v="5"/>
    <n v="2"/>
    <n v="15"/>
  </r>
  <r>
    <n v="139"/>
    <s v="Mahir"/>
    <s v="Albaghdadi"/>
    <s v="MahirAlbaghdadi"/>
    <s v="Male"/>
    <x v="131"/>
    <x v="0"/>
    <x v="0"/>
    <x v="2"/>
    <x v="0"/>
    <s v="North"/>
    <n v="877"/>
    <n v="10524"/>
    <n v="1"/>
    <s v="LOW"/>
    <n v="0"/>
    <n v="0"/>
    <n v="0"/>
  </r>
  <r>
    <n v="140"/>
    <s v="Alaa"/>
    <s v="Almunzilijiu"/>
    <s v="AlaaAlmunzilijiu"/>
    <s v="Male"/>
    <x v="132"/>
    <x v="0"/>
    <x v="0"/>
    <x v="9"/>
    <x v="0"/>
    <s v="North"/>
    <n v="1043"/>
    <n v="12516"/>
    <n v="5"/>
    <s v="HIGH"/>
    <n v="0"/>
    <n v="0"/>
    <n v="0"/>
  </r>
  <r>
    <n v="141"/>
    <s v="Labanaa"/>
    <s v="Qaziyha"/>
    <s v="LabanaaQaziyha"/>
    <s v="Female"/>
    <x v="133"/>
    <x v="3"/>
    <x v="0"/>
    <x v="7"/>
    <x v="2"/>
    <s v="Main"/>
    <n v="3258"/>
    <n v="39096"/>
    <n v="3"/>
    <s v="MEDIUM"/>
    <n v="3"/>
    <n v="0"/>
    <n v="0"/>
  </r>
  <r>
    <n v="142"/>
    <s v="Fatnh"/>
    <s v="Abu"/>
    <s v="FatnhAbu"/>
    <s v="Female"/>
    <x v="134"/>
    <x v="1"/>
    <x v="0"/>
    <x v="12"/>
    <x v="1"/>
    <s v="North"/>
    <n v="976"/>
    <n v="11712"/>
    <n v="5"/>
    <s v="HIGH"/>
    <n v="5"/>
    <n v="0"/>
    <n v="2"/>
  </r>
  <r>
    <n v="143"/>
    <s v="Iilyas"/>
    <s v="Dahadal"/>
    <s v="IilyasDahadal"/>
    <s v="Female"/>
    <x v="135"/>
    <x v="3"/>
    <x v="0"/>
    <x v="5"/>
    <x v="0"/>
    <s v="Main"/>
    <n v="3096"/>
    <n v="37152"/>
    <n v="2"/>
    <s v="LOW"/>
    <n v="0"/>
    <n v="0"/>
    <n v="8"/>
  </r>
  <r>
    <n v="144"/>
    <s v="Rim"/>
    <s v="Huaydi"/>
    <s v="RimHuaydi"/>
    <s v="Female"/>
    <x v="136"/>
    <x v="0"/>
    <x v="0"/>
    <x v="11"/>
    <x v="0"/>
    <s v="West"/>
    <n v="1985"/>
    <n v="23820"/>
    <n v="3"/>
    <s v="MEDIUM"/>
    <n v="6"/>
    <n v="2"/>
    <n v="6"/>
  </r>
  <r>
    <n v="145"/>
    <s v="Ahmad"/>
    <s v="Muhamad"/>
    <s v="AhmadMuhamad"/>
    <s v="Male"/>
    <x v="137"/>
    <x v="3"/>
    <x v="0"/>
    <x v="3"/>
    <x v="2"/>
    <s v="Main"/>
    <n v="2371"/>
    <n v="28452"/>
    <n v="5"/>
    <s v="HIGH"/>
    <n v="0"/>
    <n v="0"/>
    <n v="1"/>
  </r>
  <r>
    <n v="146"/>
    <s v="Abd Alruhmin"/>
    <s v="Almahrus"/>
    <s v="Abd AlruhminAlmahrus"/>
    <s v="Male"/>
    <x v="138"/>
    <x v="0"/>
    <x v="0"/>
    <x v="12"/>
    <x v="0"/>
    <s v="North"/>
    <n v="2562"/>
    <n v="30744"/>
    <n v="2"/>
    <s v="LOW"/>
    <n v="4"/>
    <n v="0"/>
    <n v="3"/>
  </r>
  <r>
    <n v="147"/>
    <s v="Biaism"/>
    <s v="Tyzry"/>
    <s v="BiaismTyzry"/>
    <s v="Female"/>
    <x v="139"/>
    <x v="1"/>
    <x v="0"/>
    <x v="0"/>
    <x v="3"/>
    <s v="Main"/>
    <n v="1254"/>
    <n v="15048"/>
    <n v="5"/>
    <s v="HIGH"/>
    <n v="0"/>
    <n v="0"/>
    <n v="8"/>
  </r>
  <r>
    <n v="148"/>
    <s v="Omar"/>
    <s v="Milatu"/>
    <s v="OmarMilatu"/>
    <s v="Male"/>
    <x v="55"/>
    <x v="2"/>
    <x v="1"/>
    <x v="2"/>
    <x v="3"/>
    <s v="Main"/>
    <n v="793"/>
    <n v="9516"/>
    <n v="5"/>
    <s v="HIGH"/>
    <n v="6"/>
    <n v="0"/>
    <n v="2"/>
  </r>
  <r>
    <n v="149"/>
    <s v="Alyida"/>
    <s v="Nieamah"/>
    <s v="AlyidaNieamah"/>
    <s v="Female"/>
    <x v="140"/>
    <x v="2"/>
    <x v="1"/>
    <x v="15"/>
    <x v="0"/>
    <s v="West"/>
    <n v="2416"/>
    <n v="28992"/>
    <n v="3"/>
    <s v="MEDIUM"/>
    <n v="0"/>
    <n v="0"/>
    <n v="2"/>
  </r>
  <r>
    <n v="150"/>
    <s v="Kamal"/>
    <s v="Hajl"/>
    <s v="KamalHajl"/>
    <s v="Male"/>
    <x v="141"/>
    <x v="5"/>
    <x v="1"/>
    <x v="8"/>
    <x v="3"/>
    <s v="North"/>
    <n v="822"/>
    <n v="9864"/>
    <n v="5"/>
    <s v="HIGH"/>
    <n v="6"/>
    <n v="0"/>
    <n v="1"/>
  </r>
  <r>
    <n v="151"/>
    <s v="Amjad"/>
    <s v="Naghnagh"/>
    <s v="AmjadNaghnagh"/>
    <s v="Male"/>
    <x v="142"/>
    <x v="1"/>
    <x v="0"/>
    <x v="2"/>
    <x v="0"/>
    <s v="South"/>
    <n v="1442"/>
    <n v="17304"/>
    <n v="5"/>
    <s v="HIGH"/>
    <n v="2"/>
    <n v="1"/>
    <n v="23"/>
  </r>
  <r>
    <n v="152"/>
    <s v="Iin"/>
    <s v="Qisi"/>
    <s v="IinQisi"/>
    <s v="Female"/>
    <x v="143"/>
    <x v="3"/>
    <x v="0"/>
    <x v="7"/>
    <x v="0"/>
    <s v="West"/>
    <n v="887"/>
    <n v="10644"/>
    <n v="4.5"/>
    <s v="HIGH"/>
    <n v="0"/>
    <n v="0"/>
    <n v="54"/>
  </r>
  <r>
    <n v="153"/>
    <s v="Basmah"/>
    <s v="Alhabis"/>
    <s v="BasmahAlhabis"/>
    <s v="Female"/>
    <x v="144"/>
    <x v="5"/>
    <x v="1"/>
    <x v="2"/>
    <x v="0"/>
    <s v="North"/>
    <n v="1671"/>
    <n v="20052"/>
    <n v="2"/>
    <s v="LOW"/>
    <n v="0"/>
    <n v="0"/>
    <n v="3"/>
  </r>
  <r>
    <n v="154"/>
    <s v="Eala"/>
    <s v="Dahbur"/>
    <s v="EalaDahbur"/>
    <s v="Female"/>
    <x v="136"/>
    <x v="0"/>
    <x v="0"/>
    <x v="5"/>
    <x v="2"/>
    <s v="Main"/>
    <n v="1877"/>
    <n v="22524"/>
    <n v="4.5"/>
    <s v="HIGH"/>
    <n v="1"/>
    <n v="0"/>
    <n v="0"/>
  </r>
  <r>
    <n v="155"/>
    <s v="Rwbyna"/>
    <s v="Iibrahim"/>
    <s v="RwbynaIibrahim"/>
    <s v="Female"/>
    <x v="145"/>
    <x v="0"/>
    <x v="0"/>
    <x v="7"/>
    <x v="2"/>
    <s v="North"/>
    <n v="1960"/>
    <n v="23520"/>
    <n v="2"/>
    <s v="LOW"/>
    <n v="0"/>
    <n v="0"/>
    <n v="8"/>
  </r>
  <r>
    <n v="156"/>
    <s v="Tariq"/>
    <s v="Salim"/>
    <s v="TariqSalim"/>
    <s v="Male"/>
    <x v="11"/>
    <x v="0"/>
    <x v="0"/>
    <x v="2"/>
    <x v="2"/>
    <s v="Main"/>
    <n v="2422"/>
    <n v="29064"/>
    <n v="4.5"/>
    <s v="HIGH"/>
    <n v="0"/>
    <n v="2"/>
    <n v="10"/>
  </r>
  <r>
    <n v="157"/>
    <s v="Basimah"/>
    <s v="Sybea"/>
    <s v="BasimahSybea"/>
    <s v="Female"/>
    <x v="146"/>
    <x v="3"/>
    <x v="0"/>
    <x v="2"/>
    <x v="1"/>
    <s v="Main"/>
    <n v="1299"/>
    <n v="15588"/>
    <n v="5"/>
    <s v="HIGH"/>
    <n v="0"/>
    <n v="0"/>
    <n v="8"/>
  </r>
  <r>
    <n v="158"/>
    <s v="Zunar"/>
    <s v="Eali"/>
    <s v="ZunarEali"/>
    <s v="Male"/>
    <x v="147"/>
    <x v="3"/>
    <x v="0"/>
    <x v="1"/>
    <x v="0"/>
    <s v="South"/>
    <n v="2127"/>
    <n v="25524"/>
    <n v="5"/>
    <s v="HIGH"/>
    <n v="0"/>
    <n v="0"/>
    <n v="3"/>
  </r>
  <r>
    <n v="159"/>
    <s v="Rim"/>
    <s v="Mia"/>
    <s v="RimMia"/>
    <s v="Female"/>
    <x v="148"/>
    <x v="3"/>
    <x v="0"/>
    <x v="0"/>
    <x v="0"/>
    <s v="North"/>
    <n v="3096"/>
    <n v="37152"/>
    <n v="2"/>
    <s v="LOW"/>
    <n v="5"/>
    <n v="0"/>
    <n v="9"/>
  </r>
  <r>
    <n v="160"/>
    <s v="Lana"/>
    <s v="Alhabash"/>
    <s v="LanaAlhabash"/>
    <s v="Female"/>
    <x v="149"/>
    <x v="4"/>
    <x v="1"/>
    <x v="2"/>
    <x v="0"/>
    <s v="West"/>
    <n v="951"/>
    <n v="11412"/>
    <n v="1"/>
    <s v="LOW"/>
    <n v="6"/>
    <n v="0"/>
    <n v="8"/>
  </r>
  <r>
    <n v="161"/>
    <s v="Muhamad"/>
    <s v="Alshghry"/>
    <s v="MuhamadAlshghry"/>
    <s v="Male"/>
    <x v="150"/>
    <x v="1"/>
    <x v="0"/>
    <x v="2"/>
    <x v="0"/>
    <s v="North"/>
    <n v="2940"/>
    <n v="35280"/>
    <n v="1"/>
    <s v="LOW"/>
    <n v="6"/>
    <n v="0"/>
    <n v="13"/>
  </r>
  <r>
    <n v="162"/>
    <s v="Ghazal"/>
    <s v="Hisan"/>
    <s v="GhazalHisan"/>
    <s v="Female"/>
    <x v="151"/>
    <x v="1"/>
    <x v="0"/>
    <x v="8"/>
    <x v="1"/>
    <s v="Main"/>
    <n v="3293"/>
    <n v="39516"/>
    <n v="4.5"/>
    <s v="HIGH"/>
    <n v="1"/>
    <n v="6"/>
    <n v="9"/>
  </r>
  <r>
    <n v="163"/>
    <s v="Khalil"/>
    <s v="Alzaebii"/>
    <s v="KhalilAlzaebii"/>
    <s v="Male"/>
    <x v="152"/>
    <x v="2"/>
    <x v="1"/>
    <x v="9"/>
    <x v="2"/>
    <s v="North"/>
    <n v="3250"/>
    <n v="39000"/>
    <n v="2"/>
    <s v="LOW"/>
    <n v="1"/>
    <n v="0"/>
    <n v="8"/>
  </r>
  <r>
    <n v="164"/>
    <s v="Samir"/>
    <s v="Shalish"/>
    <s v="SamirShalish"/>
    <s v="Male"/>
    <x v="153"/>
    <x v="0"/>
    <x v="0"/>
    <x v="5"/>
    <x v="0"/>
    <s v="Main"/>
    <n v="2085"/>
    <n v="25020"/>
    <n v="3"/>
    <s v="MEDIUM"/>
    <n v="1"/>
    <n v="0"/>
    <n v="9"/>
  </r>
  <r>
    <n v="165"/>
    <s v="Abdalmjid"/>
    <s v="Ahmad"/>
    <s v="AbdalmjidAhmad"/>
    <s v="Male"/>
    <x v="154"/>
    <x v="3"/>
    <x v="0"/>
    <x v="2"/>
    <x v="4"/>
    <s v="Main"/>
    <n v="1578"/>
    <n v="18936"/>
    <n v="3"/>
    <s v="MEDIUM"/>
    <n v="0"/>
    <n v="0"/>
    <n v="15"/>
  </r>
  <r>
    <n v="166"/>
    <s v="Emar"/>
    <s v="Abil"/>
    <s v="EmarAbil"/>
    <s v="Female"/>
    <x v="155"/>
    <x v="3"/>
    <x v="0"/>
    <x v="5"/>
    <x v="2"/>
    <s v="Main"/>
    <n v="1169"/>
    <n v="14028"/>
    <n v="3"/>
    <s v="MEDIUM"/>
    <n v="1"/>
    <n v="0"/>
    <n v="10"/>
  </r>
  <r>
    <n v="167"/>
    <s v="Lamia"/>
    <s v="Warur"/>
    <s v="LamiaWarur"/>
    <s v="Female"/>
    <x v="156"/>
    <x v="2"/>
    <x v="1"/>
    <x v="5"/>
    <x v="1"/>
    <s v="South"/>
    <n v="1054"/>
    <n v="12648"/>
    <n v="5"/>
    <s v="HIGH"/>
    <n v="4"/>
    <n v="6"/>
    <n v="7"/>
  </r>
  <r>
    <n v="168"/>
    <s v="Fyfian"/>
    <s v="Abu"/>
    <s v="FyfianAbu"/>
    <s v="Female"/>
    <x v="157"/>
    <x v="3"/>
    <x v="0"/>
    <x v="5"/>
    <x v="0"/>
    <s v="Main"/>
    <n v="1349"/>
    <n v="16188"/>
    <n v="4.5"/>
    <s v="HIGH"/>
    <n v="1"/>
    <n v="0"/>
    <n v="4"/>
  </r>
  <r>
    <n v="169"/>
    <s v="Majd"/>
    <s v="Yasin"/>
    <s v="MajdYasin"/>
    <s v="Female"/>
    <x v="135"/>
    <x v="3"/>
    <x v="0"/>
    <x v="0"/>
    <x v="2"/>
    <s v="South"/>
    <n v="2196"/>
    <n v="26352"/>
    <n v="5"/>
    <s v="HIGH"/>
    <n v="4"/>
    <n v="0"/>
    <n v="9"/>
  </r>
  <r>
    <n v="170"/>
    <s v="Alaa"/>
    <s v="Almisri"/>
    <s v="AlaaAlmisri"/>
    <s v="Female"/>
    <x v="158"/>
    <x v="3"/>
    <x v="0"/>
    <x v="12"/>
    <x v="0"/>
    <s v="Main"/>
    <n v="3264"/>
    <n v="39168"/>
    <n v="5"/>
    <s v="HIGH"/>
    <n v="6"/>
    <n v="5"/>
    <n v="4"/>
  </r>
  <r>
    <n v="171"/>
    <s v="Muhamad"/>
    <s v="Amir"/>
    <s v="MuhamadAmir"/>
    <s v="Male"/>
    <x v="159"/>
    <x v="2"/>
    <x v="1"/>
    <x v="0"/>
    <x v="2"/>
    <s v="North"/>
    <n v="1232"/>
    <n v="14784"/>
    <n v="5"/>
    <s v="HIGH"/>
    <n v="4"/>
    <n v="5"/>
    <n v="2"/>
  </r>
  <r>
    <n v="172"/>
    <s v="Lilas"/>
    <s v="Balatah"/>
    <s v="LilasBalatah"/>
    <s v="Female"/>
    <x v="160"/>
    <x v="3"/>
    <x v="0"/>
    <x v="7"/>
    <x v="0"/>
    <s v="Main"/>
    <n v="2401"/>
    <n v="28812"/>
    <n v="5"/>
    <s v="HIGH"/>
    <n v="0"/>
    <n v="0"/>
    <n v="9"/>
  </r>
  <r>
    <n v="173"/>
    <s v="Ruaa"/>
    <s v="Mukiin"/>
    <s v="RuaaMukiin"/>
    <s v="Female"/>
    <x v="161"/>
    <x v="2"/>
    <x v="1"/>
    <x v="2"/>
    <x v="1"/>
    <s v="Main"/>
    <n v="3168"/>
    <n v="38016"/>
    <n v="5"/>
    <s v="HIGH"/>
    <n v="0"/>
    <n v="0"/>
    <n v="18"/>
  </r>
  <r>
    <n v="174"/>
    <s v="Rana"/>
    <s v="Shaeban"/>
    <s v="RanaShaeban"/>
    <s v="Female"/>
    <x v="162"/>
    <x v="2"/>
    <x v="1"/>
    <x v="12"/>
    <x v="0"/>
    <s v="Main"/>
    <n v="1620"/>
    <n v="19440"/>
    <n v="5"/>
    <s v="HIGH"/>
    <n v="5"/>
    <n v="0"/>
    <n v="10"/>
  </r>
  <r>
    <n v="175"/>
    <s v="Muwmin"/>
    <s v="Ewad"/>
    <s v="MuwminEwad"/>
    <s v="Male"/>
    <x v="163"/>
    <x v="2"/>
    <x v="1"/>
    <x v="0"/>
    <x v="2"/>
    <s v="Main"/>
    <n v="1482"/>
    <n v="17784"/>
    <n v="5"/>
    <s v="HIGH"/>
    <n v="0"/>
    <n v="0"/>
    <n v="3"/>
  </r>
  <r>
    <n v="176"/>
    <s v="Rahaf"/>
    <s v="Alaleppoy"/>
    <s v="RahafAlaleppoy"/>
    <s v="Female"/>
    <x v="164"/>
    <x v="1"/>
    <x v="0"/>
    <x v="5"/>
    <x v="0"/>
    <s v="Main"/>
    <n v="1967"/>
    <n v="23604"/>
    <n v="4.5"/>
    <s v="HIGH"/>
    <n v="6"/>
    <n v="0"/>
    <n v="6"/>
  </r>
  <r>
    <n v="177"/>
    <s v="Samiah"/>
    <s v="Alsaedi"/>
    <s v="SamiahAlsaedi"/>
    <s v="Female"/>
    <x v="165"/>
    <x v="2"/>
    <x v="1"/>
    <x v="2"/>
    <x v="0"/>
    <s v="Main"/>
    <n v="1696"/>
    <n v="20352"/>
    <n v="5"/>
    <s v="HIGH"/>
    <n v="0"/>
    <n v="0"/>
    <n v="5"/>
  </r>
  <r>
    <n v="178"/>
    <s v="Rim"/>
    <s v="Hamdu"/>
    <s v="RimHamdu"/>
    <s v="Female"/>
    <x v="166"/>
    <x v="0"/>
    <x v="0"/>
    <x v="8"/>
    <x v="0"/>
    <s v="South"/>
    <n v="2913"/>
    <n v="34956"/>
    <n v="4.5"/>
    <s v="HIGH"/>
    <n v="0"/>
    <n v="0"/>
    <n v="3"/>
  </r>
  <r>
    <n v="179"/>
    <s v="Aishah"/>
    <s v="Alquatliu"/>
    <s v="AishahAlquatliu"/>
    <s v="Female"/>
    <x v="167"/>
    <x v="3"/>
    <x v="0"/>
    <x v="12"/>
    <x v="4"/>
    <s v="South"/>
    <n v="2068"/>
    <n v="24816"/>
    <n v="1"/>
    <s v="LOW"/>
    <n v="0"/>
    <n v="1"/>
    <n v="0"/>
  </r>
  <r>
    <n v="180"/>
    <s v="Dany"/>
    <s v="Albaba"/>
    <s v="DanyAlbaba"/>
    <s v="Male"/>
    <x v="168"/>
    <x v="0"/>
    <x v="0"/>
    <x v="17"/>
    <x v="2"/>
    <s v="North"/>
    <n v="1430"/>
    <n v="17160"/>
    <n v="3"/>
    <s v="MEDIUM"/>
    <n v="6"/>
    <n v="0"/>
    <n v="0"/>
  </r>
  <r>
    <n v="181"/>
    <s v="Muhamad"/>
    <s v="Rinkusi"/>
    <s v="MuhamadRinkusi"/>
    <s v="Male"/>
    <x v="169"/>
    <x v="0"/>
    <x v="0"/>
    <x v="5"/>
    <x v="1"/>
    <s v="North"/>
    <n v="3138"/>
    <n v="37656"/>
    <n v="1"/>
    <s v="LOW"/>
    <n v="0"/>
    <n v="5"/>
    <n v="9"/>
  </r>
  <r>
    <n v="182"/>
    <s v="Isam"/>
    <s v="Jadid"/>
    <s v="IsamJadid"/>
    <s v="Male"/>
    <x v="170"/>
    <x v="1"/>
    <x v="0"/>
    <x v="2"/>
    <x v="0"/>
    <s v="Main"/>
    <n v="2051"/>
    <n v="24612"/>
    <n v="3"/>
    <s v="MEDIUM"/>
    <n v="0"/>
    <n v="0"/>
    <n v="2"/>
  </r>
  <r>
    <n v="183"/>
    <s v="Bushraa"/>
    <s v="Drwysh"/>
    <s v="BushraaDrwysh"/>
    <s v="Female"/>
    <x v="171"/>
    <x v="0"/>
    <x v="0"/>
    <x v="8"/>
    <x v="0"/>
    <s v="North"/>
    <n v="2986"/>
    <n v="35832"/>
    <n v="1"/>
    <s v="LOW"/>
    <n v="3"/>
    <n v="0"/>
    <n v="8"/>
  </r>
  <r>
    <n v="184"/>
    <s v="Zakarian"/>
    <s v="Rashwani"/>
    <s v="ZakarianRashwani"/>
    <s v="Male"/>
    <x v="172"/>
    <x v="0"/>
    <x v="0"/>
    <x v="2"/>
    <x v="3"/>
    <s v="Main"/>
    <n v="2790"/>
    <n v="33480"/>
    <n v="5"/>
    <s v="HIGH"/>
    <n v="6"/>
    <n v="0"/>
    <n v="3"/>
  </r>
  <r>
    <n v="185"/>
    <s v="Fadi"/>
    <s v="Alqadi"/>
    <s v="FadiAlqadi"/>
    <s v="Male"/>
    <x v="173"/>
    <x v="1"/>
    <x v="0"/>
    <x v="8"/>
    <x v="0"/>
    <s v="Main"/>
    <n v="1075"/>
    <n v="12900"/>
    <n v="4.5"/>
    <s v="HIGH"/>
    <n v="6"/>
    <n v="0"/>
    <n v="7"/>
  </r>
  <r>
    <n v="186"/>
    <s v="Diea"/>
    <s v="Almarstani"/>
    <s v="DieaAlmarstani"/>
    <s v="Male"/>
    <x v="174"/>
    <x v="3"/>
    <x v="0"/>
    <x v="4"/>
    <x v="3"/>
    <s v="Main"/>
    <n v="2009"/>
    <n v="24108"/>
    <n v="1"/>
    <s v="LOW"/>
    <n v="5"/>
    <n v="0"/>
    <n v="0"/>
  </r>
  <r>
    <n v="187"/>
    <s v="Muhamad"/>
    <s v="Siedih"/>
    <s v="MuhamadSiedih"/>
    <s v="Male"/>
    <x v="175"/>
    <x v="0"/>
    <x v="0"/>
    <x v="11"/>
    <x v="0"/>
    <s v="Main"/>
    <n v="3254"/>
    <n v="39048"/>
    <n v="3"/>
    <s v="MEDIUM"/>
    <n v="4"/>
    <n v="6"/>
    <n v="5"/>
  </r>
  <r>
    <n v="188"/>
    <s v="Bisam"/>
    <s v="Almisri"/>
    <s v="BisamAlmisri"/>
    <s v="Female"/>
    <x v="23"/>
    <x v="3"/>
    <x v="0"/>
    <x v="15"/>
    <x v="2"/>
    <s v="Main"/>
    <n v="2367"/>
    <n v="28404"/>
    <n v="3"/>
    <s v="MEDIUM"/>
    <n v="0"/>
    <n v="0"/>
    <n v="1"/>
  </r>
  <r>
    <n v="189"/>
    <s v="Muhamad"/>
    <s v="Alkhatib"/>
    <s v="MuhamadAlkhatib"/>
    <s v="Male"/>
    <x v="176"/>
    <x v="2"/>
    <x v="1"/>
    <x v="2"/>
    <x v="2"/>
    <s v="Main"/>
    <n v="3158"/>
    <n v="37896"/>
    <n v="3"/>
    <s v="MEDIUM"/>
    <n v="2"/>
    <n v="5"/>
    <n v="10"/>
  </r>
  <r>
    <n v="190"/>
    <s v="Muhamad"/>
    <s v="Rghid"/>
    <s v="MuhamadRghid"/>
    <s v="Male"/>
    <x v="177"/>
    <x v="3"/>
    <x v="0"/>
    <x v="2"/>
    <x v="2"/>
    <s v="Main"/>
    <n v="1980"/>
    <n v="23760"/>
    <n v="2"/>
    <s v="LOW"/>
    <n v="0"/>
    <n v="0"/>
    <n v="2"/>
  </r>
  <r>
    <n v="191"/>
    <s v="Omar"/>
    <s v="Shakir"/>
    <s v="OmarShakir"/>
    <s v="Male"/>
    <x v="178"/>
    <x v="3"/>
    <x v="0"/>
    <x v="5"/>
    <x v="0"/>
    <s v="Main"/>
    <n v="2049"/>
    <n v="24588"/>
    <n v="3"/>
    <s v="MEDIUM"/>
    <n v="6"/>
    <n v="0"/>
    <n v="23"/>
  </r>
  <r>
    <n v="192"/>
    <s v="Aryj"/>
    <s v="Hamada"/>
    <s v="AryjHamada"/>
    <s v="Female"/>
    <x v="179"/>
    <x v="1"/>
    <x v="0"/>
    <x v="12"/>
    <x v="0"/>
    <s v="North"/>
    <n v="2727"/>
    <n v="32724"/>
    <n v="2"/>
    <s v="LOW"/>
    <n v="0"/>
    <n v="0"/>
    <n v="8"/>
  </r>
  <r>
    <n v="193"/>
    <s v="Madlin"/>
    <s v="Saeid"/>
    <s v="MadlinSaeid"/>
    <s v="Female"/>
    <x v="180"/>
    <x v="3"/>
    <x v="0"/>
    <x v="2"/>
    <x v="2"/>
    <s v="South"/>
    <n v="974"/>
    <n v="11688"/>
    <n v="5"/>
    <s v="HIGH"/>
    <n v="0"/>
    <n v="0"/>
    <n v="9"/>
  </r>
  <r>
    <n v="194"/>
    <s v="Rybal"/>
    <s v="Sabagh"/>
    <s v="RybalSabagh"/>
    <s v="Male"/>
    <x v="181"/>
    <x v="3"/>
    <x v="0"/>
    <x v="3"/>
    <x v="2"/>
    <s v="North"/>
    <n v="992"/>
    <n v="11904"/>
    <n v="5"/>
    <s v="HIGH"/>
    <n v="0"/>
    <n v="0"/>
    <n v="3"/>
  </r>
  <r>
    <n v="195"/>
    <s v="Samar"/>
    <s v="Alqutb"/>
    <s v="SamarAlqutb"/>
    <s v="Female"/>
    <x v="182"/>
    <x v="0"/>
    <x v="0"/>
    <x v="5"/>
    <x v="0"/>
    <s v="West"/>
    <n v="2730"/>
    <n v="32760"/>
    <n v="1"/>
    <s v="LOW"/>
    <n v="4"/>
    <n v="6"/>
    <n v="9"/>
  </r>
  <r>
    <n v="196"/>
    <s v="Eala"/>
    <s v="Murad"/>
    <s v="EalaMurad"/>
    <s v="Female"/>
    <x v="183"/>
    <x v="4"/>
    <x v="1"/>
    <x v="8"/>
    <x v="0"/>
    <s v="West"/>
    <n v="2804"/>
    <n v="33648"/>
    <n v="4.5"/>
    <s v="HIGH"/>
    <n v="0"/>
    <n v="0"/>
    <n v="4"/>
  </r>
  <r>
    <n v="197"/>
    <s v="Ahmad"/>
    <s v="Salih"/>
    <s v="AhmadSalih"/>
    <s v="Male"/>
    <x v="112"/>
    <x v="3"/>
    <x v="0"/>
    <x v="0"/>
    <x v="0"/>
    <s v="Main"/>
    <n v="1467"/>
    <n v="17604"/>
    <n v="5"/>
    <s v="HIGH"/>
    <n v="6"/>
    <n v="0"/>
    <n v="0"/>
  </r>
  <r>
    <n v="198"/>
    <s v="Ibrahim"/>
    <s v="Alhamid"/>
    <s v="IbrahimAlhamid"/>
    <s v="Male"/>
    <x v="184"/>
    <x v="1"/>
    <x v="0"/>
    <x v="1"/>
    <x v="4"/>
    <s v="West"/>
    <n v="997"/>
    <n v="11964"/>
    <n v="5"/>
    <s v="HIGH"/>
    <n v="1"/>
    <n v="0"/>
    <n v="68"/>
  </r>
  <r>
    <n v="199"/>
    <s v="Muhamad"/>
    <s v="Alziyat"/>
    <s v="MuhamadAlziyat"/>
    <s v="Male"/>
    <x v="185"/>
    <x v="3"/>
    <x v="0"/>
    <x v="5"/>
    <x v="1"/>
    <s v="West"/>
    <n v="1859"/>
    <n v="22308"/>
    <n v="5"/>
    <s v="HIGH"/>
    <n v="5"/>
    <n v="0"/>
    <n v="1"/>
  </r>
  <r>
    <n v="200"/>
    <s v="Ali"/>
    <s v="Nhl"/>
    <s v="AliNhl"/>
    <s v="Male"/>
    <x v="186"/>
    <x v="3"/>
    <x v="0"/>
    <x v="12"/>
    <x v="0"/>
    <s v="North"/>
    <n v="1231"/>
    <n v="14772"/>
    <n v="1"/>
    <s v="LOW"/>
    <n v="1"/>
    <n v="5"/>
    <n v="7"/>
  </r>
  <r>
    <n v="201"/>
    <s v="Saed"/>
    <s v="Alsiyah"/>
    <s v="SaedAlsiyah"/>
    <s v="Male"/>
    <x v="59"/>
    <x v="3"/>
    <x v="0"/>
    <x v="2"/>
    <x v="0"/>
    <s v="Main"/>
    <n v="719"/>
    <n v="8628"/>
    <n v="5"/>
    <s v="HIGH"/>
    <n v="0"/>
    <n v="0"/>
    <n v="8"/>
  </r>
  <r>
    <n v="202"/>
    <s v="Majdy"/>
    <s v="Rafaea"/>
    <s v="MajdyRafaea"/>
    <s v="Male"/>
    <x v="187"/>
    <x v="1"/>
    <x v="0"/>
    <x v="14"/>
    <x v="2"/>
    <s v="Main"/>
    <n v="2186"/>
    <n v="26232"/>
    <n v="1"/>
    <s v="LOW"/>
    <n v="2"/>
    <n v="0"/>
    <n v="10"/>
  </r>
  <r>
    <n v="203"/>
    <s v="Ihsan"/>
    <s v="Eazu"/>
    <s v="IhsanEazu"/>
    <s v="Male"/>
    <x v="188"/>
    <x v="3"/>
    <x v="0"/>
    <x v="13"/>
    <x v="0"/>
    <s v="West"/>
    <n v="1605"/>
    <n v="19260"/>
    <n v="4.5"/>
    <s v="HIGH"/>
    <n v="5"/>
    <n v="4"/>
    <n v="9"/>
  </r>
  <r>
    <n v="204"/>
    <s v="Iad"/>
    <s v="Alshaykh"/>
    <s v="IadAlshaykh"/>
    <s v="Male"/>
    <x v="189"/>
    <x v="0"/>
    <x v="0"/>
    <x v="8"/>
    <x v="0"/>
    <s v="Main"/>
    <n v="2365"/>
    <n v="28380"/>
    <n v="1"/>
    <s v="LOW"/>
    <n v="0"/>
    <n v="0"/>
    <n v="73"/>
  </r>
  <r>
    <n v="205"/>
    <s v="Bara"/>
    <s v="Alrrashid"/>
    <s v="BaraAlrrashid"/>
    <s v="Male"/>
    <x v="190"/>
    <x v="2"/>
    <x v="1"/>
    <x v="19"/>
    <x v="3"/>
    <s v="Main"/>
    <n v="1096"/>
    <n v="13152"/>
    <n v="4.5"/>
    <s v="HIGH"/>
    <n v="4"/>
    <n v="0"/>
    <n v="8"/>
  </r>
  <r>
    <n v="206"/>
    <s v="Fadi"/>
    <s v="Nuna"/>
    <s v="FadiNuna"/>
    <s v="Male"/>
    <x v="191"/>
    <x v="3"/>
    <x v="0"/>
    <x v="8"/>
    <x v="0"/>
    <s v="North"/>
    <n v="1037"/>
    <n v="12444"/>
    <n v="3"/>
    <s v="MEDIUM"/>
    <n v="6"/>
    <n v="0"/>
    <n v="5"/>
  </r>
  <r>
    <n v="207"/>
    <s v="Muhamad"/>
    <s v="Salah"/>
    <s v="MuhamadSalah"/>
    <s v="Male"/>
    <x v="20"/>
    <x v="1"/>
    <x v="0"/>
    <x v="8"/>
    <x v="3"/>
    <s v="West"/>
    <n v="1757"/>
    <n v="21084"/>
    <n v="2"/>
    <s v="LOW"/>
    <n v="6"/>
    <n v="0"/>
    <n v="13"/>
  </r>
  <r>
    <n v="208"/>
    <s v="Bima"/>
    <s v="Mustafaa"/>
    <s v="BimaMustafaa"/>
    <s v="Female"/>
    <x v="192"/>
    <x v="1"/>
    <x v="0"/>
    <x v="12"/>
    <x v="0"/>
    <s v="Main"/>
    <n v="3405"/>
    <n v="40860"/>
    <n v="5"/>
    <s v="HIGH"/>
    <n v="0"/>
    <n v="0"/>
    <n v="1"/>
  </r>
  <r>
    <n v="209"/>
    <s v="Husam"/>
    <s v="Abu Shwmr"/>
    <s v="HusamAbu Shwmr"/>
    <s v="Male"/>
    <x v="193"/>
    <x v="0"/>
    <x v="0"/>
    <x v="5"/>
    <x v="2"/>
    <s v="West"/>
    <n v="2154"/>
    <n v="25848"/>
    <n v="5"/>
    <s v="HIGH"/>
    <n v="0"/>
    <n v="0"/>
    <n v="0"/>
  </r>
  <r>
    <n v="210"/>
    <s v="Abdalrahmin"/>
    <s v="Turkmany"/>
    <s v="AbdalrahminTurkmany"/>
    <s v="Male"/>
    <x v="194"/>
    <x v="0"/>
    <x v="0"/>
    <x v="9"/>
    <x v="0"/>
    <s v="Main"/>
    <n v="805"/>
    <n v="9660"/>
    <n v="2"/>
    <s v="LOW"/>
    <n v="0"/>
    <n v="0"/>
    <n v="6"/>
  </r>
  <r>
    <n v="211"/>
    <s v="Majdulyn"/>
    <s v="Alhakim"/>
    <s v="MajdulynAlhakim"/>
    <s v="Female"/>
    <x v="195"/>
    <x v="0"/>
    <x v="0"/>
    <x v="18"/>
    <x v="0"/>
    <s v="Main"/>
    <n v="3093"/>
    <n v="37116"/>
    <n v="4.5"/>
    <s v="HIGH"/>
    <n v="0"/>
    <n v="0"/>
    <n v="10"/>
  </r>
  <r>
    <n v="212"/>
    <s v="Ahmad"/>
    <s v="Abu Jaysh"/>
    <s v="AhmadAbu Jaysh"/>
    <s v="Male"/>
    <x v="196"/>
    <x v="2"/>
    <x v="1"/>
    <x v="15"/>
    <x v="1"/>
    <s v="West"/>
    <n v="1039"/>
    <n v="12468"/>
    <n v="3"/>
    <s v="MEDIUM"/>
    <n v="2"/>
    <n v="0"/>
    <n v="87"/>
  </r>
  <r>
    <n v="213"/>
    <s v="Majid"/>
    <s v="Aleusud"/>
    <s v="MajidAleusud"/>
    <s v="Male"/>
    <x v="197"/>
    <x v="3"/>
    <x v="0"/>
    <x v="5"/>
    <x v="0"/>
    <s v="West"/>
    <n v="1012"/>
    <n v="12144"/>
    <n v="3"/>
    <s v="MEDIUM"/>
    <n v="1"/>
    <n v="0"/>
    <n v="7"/>
  </r>
  <r>
    <n v="214"/>
    <s v="Bashshar"/>
    <s v="Shakhashiru"/>
    <s v="BashsharShakhashiru"/>
    <s v="Male"/>
    <x v="198"/>
    <x v="2"/>
    <x v="1"/>
    <x v="4"/>
    <x v="0"/>
    <s v="Main"/>
    <n v="2216"/>
    <n v="26592"/>
    <n v="2"/>
    <s v="LOW"/>
    <n v="0"/>
    <n v="0"/>
    <n v="11"/>
  </r>
  <r>
    <n v="215"/>
    <s v="Malik"/>
    <s v="Alshaykh"/>
    <s v="MalikAlshaykh"/>
    <s v="Male"/>
    <x v="199"/>
    <x v="1"/>
    <x v="0"/>
    <x v="12"/>
    <x v="0"/>
    <s v="South"/>
    <n v="2020"/>
    <n v="24240"/>
    <n v="4.5"/>
    <s v="HIGH"/>
    <n v="0"/>
    <n v="5"/>
    <n v="0"/>
  </r>
  <r>
    <n v="216"/>
    <s v="Omar"/>
    <s v="Zarzur"/>
    <s v="OmarZarzur"/>
    <s v="Male"/>
    <x v="200"/>
    <x v="5"/>
    <x v="1"/>
    <x v="3"/>
    <x v="2"/>
    <s v="North"/>
    <n v="3309"/>
    <n v="39708"/>
    <n v="4.5"/>
    <s v="HIGH"/>
    <n v="1"/>
    <n v="0"/>
    <n v="7"/>
  </r>
  <r>
    <n v="217"/>
    <s v="Hasan"/>
    <s v="Iismaeil"/>
    <s v="HasanIismaeil"/>
    <s v="Male"/>
    <x v="201"/>
    <x v="1"/>
    <x v="0"/>
    <x v="5"/>
    <x v="2"/>
    <s v="North"/>
    <n v="983"/>
    <n v="11796"/>
    <n v="2"/>
    <s v="LOW"/>
    <n v="6"/>
    <n v="0"/>
    <n v="0"/>
  </r>
  <r>
    <n v="218"/>
    <s v="Husayn"/>
    <s v="Abu Nasir"/>
    <s v="HusaynAbu Nasir"/>
    <s v="Male"/>
    <x v="202"/>
    <x v="2"/>
    <x v="1"/>
    <x v="2"/>
    <x v="0"/>
    <s v="Main"/>
    <n v="741"/>
    <n v="8892"/>
    <n v="3"/>
    <s v="MEDIUM"/>
    <n v="0"/>
    <n v="0"/>
    <n v="1"/>
  </r>
  <r>
    <n v="219"/>
    <s v="Mazin"/>
    <s v="Earabi"/>
    <s v="MazinEarabi"/>
    <s v="Male"/>
    <x v="203"/>
    <x v="5"/>
    <x v="1"/>
    <x v="5"/>
    <x v="2"/>
    <s v="Main"/>
    <n v="1171"/>
    <n v="14052"/>
    <n v="4.5"/>
    <s v="HIGH"/>
    <n v="0"/>
    <n v="0"/>
    <n v="0"/>
  </r>
  <r>
    <n v="220"/>
    <s v="Zahir"/>
    <s v="Eisaa"/>
    <s v="ZahirEisaa"/>
    <s v="Male"/>
    <x v="45"/>
    <x v="3"/>
    <x v="0"/>
    <x v="12"/>
    <x v="0"/>
    <s v="North"/>
    <n v="2512"/>
    <n v="30144"/>
    <n v="5"/>
    <s v="HIGH"/>
    <n v="6"/>
    <n v="0"/>
    <n v="10"/>
  </r>
  <r>
    <n v="221"/>
    <s v="Lama"/>
    <s v="Sabiq"/>
    <s v="LamaSabiq"/>
    <s v="Female"/>
    <x v="204"/>
    <x v="0"/>
    <x v="0"/>
    <x v="0"/>
    <x v="0"/>
    <s v="West"/>
    <n v="1608"/>
    <n v="19296"/>
    <n v="1"/>
    <s v="LOW"/>
    <n v="0"/>
    <n v="3"/>
    <n v="4"/>
  </r>
  <r>
    <n v="222"/>
    <s v="Tariq"/>
    <s v="Dw"/>
    <s v="TariqDw"/>
    <s v="Male"/>
    <x v="205"/>
    <x v="1"/>
    <x v="0"/>
    <x v="12"/>
    <x v="2"/>
    <s v="North"/>
    <n v="1677"/>
    <n v="20124"/>
    <n v="1"/>
    <s v="LOW"/>
    <n v="0"/>
    <n v="0"/>
    <n v="12"/>
  </r>
  <r>
    <n v="223"/>
    <s v="Jawaher"/>
    <s v="Shaykhus"/>
    <s v="JawaherShaykhus"/>
    <s v="Female"/>
    <x v="206"/>
    <x v="0"/>
    <x v="0"/>
    <x v="12"/>
    <x v="0"/>
    <s v="West"/>
    <n v="3414"/>
    <n v="40968"/>
    <n v="5"/>
    <s v="HIGH"/>
    <n v="0"/>
    <n v="0"/>
    <n v="2"/>
  </r>
  <r>
    <n v="224"/>
    <s v="Emam"/>
    <s v="Mansur"/>
    <s v="EmamMansur"/>
    <s v="Male"/>
    <x v="204"/>
    <x v="0"/>
    <x v="0"/>
    <x v="12"/>
    <x v="4"/>
    <s v="Main"/>
    <n v="1358"/>
    <n v="16296"/>
    <n v="5"/>
    <s v="HIGH"/>
    <n v="0"/>
    <n v="0"/>
    <n v="10"/>
  </r>
  <r>
    <n v="225"/>
    <s v="Muhamad"/>
    <s v="Bulta"/>
    <s v="MuhamadBulta"/>
    <s v="Male"/>
    <x v="90"/>
    <x v="3"/>
    <x v="0"/>
    <x v="5"/>
    <x v="0"/>
    <s v="South"/>
    <n v="703"/>
    <n v="8436"/>
    <n v="4.5"/>
    <s v="HIGH"/>
    <n v="0"/>
    <n v="0"/>
    <n v="64"/>
  </r>
  <r>
    <n v="226"/>
    <s v="Fatin"/>
    <s v="Hamshu"/>
    <s v="FatinHamshu"/>
    <s v="Female"/>
    <x v="207"/>
    <x v="0"/>
    <x v="0"/>
    <x v="3"/>
    <x v="0"/>
    <s v="Main"/>
    <n v="2017"/>
    <n v="24204"/>
    <n v="2"/>
    <s v="LOW"/>
    <n v="0"/>
    <n v="1"/>
    <n v="8"/>
  </r>
  <r>
    <n v="227"/>
    <s v="Abd Alruhmin"/>
    <s v="Alnasar"/>
    <s v="Abd AlruhminAlnasar"/>
    <s v="Male"/>
    <x v="208"/>
    <x v="3"/>
    <x v="0"/>
    <x v="3"/>
    <x v="0"/>
    <s v="Main"/>
    <n v="1806"/>
    <n v="21672"/>
    <n v="5"/>
    <s v="HIGH"/>
    <n v="0"/>
    <n v="0"/>
    <n v="7"/>
  </r>
  <r>
    <n v="228"/>
    <s v="Fatin"/>
    <s v="Red"/>
    <s v="FatinRed"/>
    <s v="Female"/>
    <x v="209"/>
    <x v="3"/>
    <x v="0"/>
    <x v="15"/>
    <x v="0"/>
    <s v="North"/>
    <n v="2421"/>
    <n v="29052"/>
    <n v="3"/>
    <s v="MEDIUM"/>
    <n v="6"/>
    <n v="0"/>
    <n v="16"/>
  </r>
  <r>
    <n v="229"/>
    <s v="Ali"/>
    <s v="Muhamad"/>
    <s v="AliMuhamad"/>
    <s v="Male"/>
    <x v="210"/>
    <x v="0"/>
    <x v="0"/>
    <x v="9"/>
    <x v="2"/>
    <s v="North"/>
    <n v="1461"/>
    <n v="17532"/>
    <n v="5"/>
    <s v="HIGH"/>
    <n v="1"/>
    <n v="0"/>
    <n v="7"/>
  </r>
  <r>
    <n v="230"/>
    <s v="Rima"/>
    <s v="Dwalyby"/>
    <s v="RimaDwalyby"/>
    <s v="Female"/>
    <x v="211"/>
    <x v="1"/>
    <x v="0"/>
    <x v="2"/>
    <x v="0"/>
    <s v="South"/>
    <n v="1287"/>
    <n v="15444"/>
    <n v="1"/>
    <s v="LOW"/>
    <n v="0"/>
    <n v="0"/>
    <n v="7"/>
  </r>
  <r>
    <n v="231"/>
    <s v="Basil"/>
    <s v="Musaa"/>
    <s v="BasilMusaa"/>
    <s v="Male"/>
    <x v="212"/>
    <x v="0"/>
    <x v="0"/>
    <x v="2"/>
    <x v="0"/>
    <s v="Main"/>
    <n v="2756"/>
    <n v="33072"/>
    <n v="3"/>
    <s v="MEDIUM"/>
    <n v="2"/>
    <n v="0"/>
    <n v="4"/>
  </r>
  <r>
    <n v="232"/>
    <s v="Antuan"/>
    <s v="Litansdurfr"/>
    <s v="AntuanLitansdurfr"/>
    <s v="Male"/>
    <x v="213"/>
    <x v="0"/>
    <x v="0"/>
    <x v="0"/>
    <x v="0"/>
    <s v="Main"/>
    <n v="2332"/>
    <n v="27984"/>
    <n v="5"/>
    <s v="HIGH"/>
    <n v="0"/>
    <n v="0"/>
    <n v="2"/>
  </r>
  <r>
    <n v="233"/>
    <s v="Rashad"/>
    <s v="Iidris"/>
    <s v="RashadIidris"/>
    <s v="Male"/>
    <x v="214"/>
    <x v="3"/>
    <x v="0"/>
    <x v="11"/>
    <x v="0"/>
    <s v="Main"/>
    <n v="812"/>
    <n v="9744"/>
    <n v="3"/>
    <s v="MEDIUM"/>
    <n v="0"/>
    <n v="0"/>
    <n v="10"/>
  </r>
  <r>
    <n v="234"/>
    <s v="Bidralidin"/>
    <s v="Ahmdghrybw"/>
    <s v="BidralidinAhmdghrybw"/>
    <s v="Male"/>
    <x v="215"/>
    <x v="1"/>
    <x v="0"/>
    <x v="2"/>
    <x v="0"/>
    <s v="North"/>
    <n v="2651"/>
    <n v="31812"/>
    <n v="1"/>
    <s v="LOW"/>
    <n v="0"/>
    <n v="0"/>
    <n v="12"/>
  </r>
  <r>
    <n v="235"/>
    <s v="Faras"/>
    <s v="Shaykh"/>
    <s v="FarasShaykh"/>
    <s v="Male"/>
    <x v="216"/>
    <x v="0"/>
    <x v="0"/>
    <x v="4"/>
    <x v="2"/>
    <s v="West"/>
    <n v="2331"/>
    <n v="27972"/>
    <n v="4.5"/>
    <s v="HIGH"/>
    <n v="0"/>
    <n v="0"/>
    <n v="9"/>
  </r>
  <r>
    <n v="236"/>
    <s v="Muhamad"/>
    <s v="Eala Aldiyn"/>
    <s v="MuhamadEala Aldiyn"/>
    <s v="Male"/>
    <x v="177"/>
    <x v="3"/>
    <x v="0"/>
    <x v="4"/>
    <x v="1"/>
    <s v="North"/>
    <n v="2162"/>
    <n v="25944"/>
    <n v="5"/>
    <s v="HIGH"/>
    <n v="0"/>
    <n v="0"/>
    <n v="13"/>
  </r>
  <r>
    <n v="237"/>
    <s v="Khaldun"/>
    <s v="Suqbani"/>
    <s v="KhaldunSuqbani"/>
    <s v="Male"/>
    <x v="30"/>
    <x v="1"/>
    <x v="0"/>
    <x v="2"/>
    <x v="0"/>
    <s v="North"/>
    <n v="1952"/>
    <n v="23424"/>
    <n v="3"/>
    <s v="MEDIUM"/>
    <n v="1"/>
    <n v="1"/>
    <n v="34"/>
  </r>
  <r>
    <n v="238"/>
    <s v="Lwna"/>
    <s v="Albahra"/>
    <s v="LwnaAlbahra"/>
    <s v="Female"/>
    <x v="217"/>
    <x v="1"/>
    <x v="0"/>
    <x v="3"/>
    <x v="0"/>
    <s v="North"/>
    <n v="2976"/>
    <n v="35712"/>
    <n v="4.5"/>
    <s v="HIGH"/>
    <n v="0"/>
    <n v="2"/>
    <n v="6"/>
  </r>
  <r>
    <n v="239"/>
    <s v="Ahmad"/>
    <s v="Ezqul"/>
    <s v="AhmadEzqul"/>
    <s v="Male"/>
    <x v="218"/>
    <x v="0"/>
    <x v="0"/>
    <x v="2"/>
    <x v="1"/>
    <s v="Main"/>
    <n v="2080"/>
    <n v="24960"/>
    <n v="5"/>
    <s v="HIGH"/>
    <n v="0"/>
    <n v="5"/>
    <n v="13"/>
  </r>
  <r>
    <n v="240"/>
    <s v="Salih"/>
    <s v="Alhamuwd"/>
    <s v="SalihAlhamuwd"/>
    <s v="Male"/>
    <x v="219"/>
    <x v="0"/>
    <x v="0"/>
    <x v="9"/>
    <x v="0"/>
    <s v="Main"/>
    <n v="1668"/>
    <n v="20016"/>
    <n v="4.5"/>
    <s v="HIGH"/>
    <n v="0"/>
    <n v="3"/>
    <n v="3"/>
  </r>
  <r>
    <n v="241"/>
    <s v="Muhamad"/>
    <s v="Abu Zamil"/>
    <s v="MuhamadAbu Zamil"/>
    <s v="Male"/>
    <x v="220"/>
    <x v="5"/>
    <x v="1"/>
    <x v="9"/>
    <x v="0"/>
    <s v="Main"/>
    <n v="2234"/>
    <n v="26808"/>
    <n v="5"/>
    <s v="HIGH"/>
    <n v="3"/>
    <n v="0"/>
    <n v="7"/>
  </r>
  <r>
    <n v="242"/>
    <s v="Fuad"/>
    <s v="Alsyqly"/>
    <s v="FuadAlsyqly"/>
    <s v="Male"/>
    <x v="221"/>
    <x v="3"/>
    <x v="0"/>
    <x v="5"/>
    <x v="3"/>
    <s v="South"/>
    <n v="2096"/>
    <n v="25152"/>
    <n v="3"/>
    <s v="MEDIUM"/>
    <n v="5"/>
    <n v="2"/>
    <n v="0"/>
  </r>
  <r>
    <n v="243"/>
    <s v="Muhamad"/>
    <s v="Aldamshqi"/>
    <s v="MuhamadAldamshqi"/>
    <s v="Male"/>
    <x v="222"/>
    <x v="3"/>
    <x v="0"/>
    <x v="2"/>
    <x v="1"/>
    <s v="Main"/>
    <n v="2129"/>
    <n v="25548"/>
    <n v="3"/>
    <s v="MEDIUM"/>
    <n v="1"/>
    <n v="1"/>
    <n v="3"/>
  </r>
  <r>
    <n v="244"/>
    <s v="Sayf Aldiyn"/>
    <s v="Alkmshh"/>
    <s v="Sayf AldiynAlkmshh"/>
    <s v="Male"/>
    <x v="194"/>
    <x v="0"/>
    <x v="0"/>
    <x v="2"/>
    <x v="1"/>
    <s v="Main"/>
    <n v="1429"/>
    <n v="17148"/>
    <n v="3"/>
    <s v="MEDIUM"/>
    <n v="0"/>
    <n v="5"/>
    <n v="8"/>
  </r>
  <r>
    <n v="245"/>
    <s v="Muhamad"/>
    <s v="Alssati"/>
    <s v="MuhamadAlssati"/>
    <s v="Male"/>
    <x v="223"/>
    <x v="1"/>
    <x v="0"/>
    <x v="2"/>
    <x v="2"/>
    <s v="North"/>
    <n v="1479"/>
    <n v="17748"/>
    <n v="3"/>
    <s v="MEDIUM"/>
    <n v="5"/>
    <n v="4"/>
    <n v="8"/>
  </r>
  <r>
    <n v="246"/>
    <s v="Khalid"/>
    <s v="Alem"/>
    <s v="KhalidAlem"/>
    <s v="Male"/>
    <x v="224"/>
    <x v="1"/>
    <x v="0"/>
    <x v="0"/>
    <x v="2"/>
    <s v="North"/>
    <n v="2884"/>
    <n v="34608"/>
    <n v="5"/>
    <s v="HIGH"/>
    <n v="1"/>
    <n v="6"/>
    <n v="3"/>
  </r>
  <r>
    <n v="247"/>
    <s v="Ayham"/>
    <s v="Aleisaa"/>
    <s v="AyhamAleisaa"/>
    <s v="Male"/>
    <x v="225"/>
    <x v="1"/>
    <x v="0"/>
    <x v="11"/>
    <x v="3"/>
    <s v="Main"/>
    <n v="2947"/>
    <n v="35364"/>
    <n v="3"/>
    <s v="MEDIUM"/>
    <n v="5"/>
    <n v="0"/>
    <n v="1"/>
  </r>
  <r>
    <n v="248"/>
    <s v="Abd Alruhmin"/>
    <s v="Dulul"/>
    <s v="Abd AlruhminDulul"/>
    <s v="Male"/>
    <x v="226"/>
    <x v="0"/>
    <x v="0"/>
    <x v="0"/>
    <x v="0"/>
    <s v="North"/>
    <n v="1795"/>
    <n v="21540"/>
    <n v="1"/>
    <s v="LOW"/>
    <n v="0"/>
    <n v="0"/>
    <n v="4"/>
  </r>
  <r>
    <n v="249"/>
    <s v="Ruba"/>
    <s v="Aleid"/>
    <s v="RubaAleid"/>
    <s v="Female"/>
    <x v="227"/>
    <x v="2"/>
    <x v="1"/>
    <x v="5"/>
    <x v="0"/>
    <s v="West"/>
    <n v="1982"/>
    <n v="23784"/>
    <n v="5"/>
    <s v="HIGH"/>
    <n v="1"/>
    <n v="0"/>
    <n v="7"/>
  </r>
  <r>
    <n v="250"/>
    <s v="Muhamad"/>
    <s v="Badawiin"/>
    <s v="MuhamadBadawiin"/>
    <s v="Male"/>
    <x v="228"/>
    <x v="1"/>
    <x v="0"/>
    <x v="5"/>
    <x v="0"/>
    <s v="South"/>
    <n v="2543"/>
    <n v="30516"/>
    <n v="5"/>
    <s v="HIGH"/>
    <n v="0"/>
    <n v="0"/>
    <n v="86"/>
  </r>
  <r>
    <n v="251"/>
    <s v="Sharihan"/>
    <s v="Rihan"/>
    <s v="SharihanRihan"/>
    <s v="Female"/>
    <x v="229"/>
    <x v="3"/>
    <x v="0"/>
    <x v="2"/>
    <x v="0"/>
    <s v="Main"/>
    <n v="2787"/>
    <n v="33444"/>
    <n v="3"/>
    <s v="MEDIUM"/>
    <n v="3"/>
    <n v="0"/>
    <n v="12"/>
  </r>
  <r>
    <n v="252"/>
    <s v="Ibrahim"/>
    <s v="Alyasin"/>
    <s v="IbrahimAlyasin"/>
    <s v="Male"/>
    <x v="230"/>
    <x v="3"/>
    <x v="0"/>
    <x v="12"/>
    <x v="0"/>
    <s v="North"/>
    <n v="1095"/>
    <n v="13140"/>
    <n v="5"/>
    <s v="HIGH"/>
    <n v="6"/>
    <n v="0"/>
    <n v="5"/>
  </r>
  <r>
    <n v="253"/>
    <s v="Iin"/>
    <s v="Mulaliyun"/>
    <s v="IinMulaliyun"/>
    <s v="Female"/>
    <x v="231"/>
    <x v="1"/>
    <x v="0"/>
    <x v="2"/>
    <x v="1"/>
    <s v="Main"/>
    <n v="2009"/>
    <n v="24108"/>
    <n v="5"/>
    <s v="HIGH"/>
    <n v="0"/>
    <n v="0"/>
    <n v="0"/>
  </r>
  <r>
    <n v="254"/>
    <s v="Danah"/>
    <s v="Almahdi"/>
    <s v="DanahAlmahdi"/>
    <s v="Female"/>
    <x v="232"/>
    <x v="5"/>
    <x v="1"/>
    <x v="14"/>
    <x v="0"/>
    <s v="North"/>
    <n v="1837"/>
    <n v="22044"/>
    <n v="3"/>
    <s v="MEDIUM"/>
    <n v="1"/>
    <n v="0"/>
    <n v="2"/>
  </r>
  <r>
    <n v="255"/>
    <s v="Muhamad"/>
    <s v="Sakar"/>
    <s v="MuhamadSakar"/>
    <s v="Male"/>
    <x v="233"/>
    <x v="3"/>
    <x v="0"/>
    <x v="11"/>
    <x v="1"/>
    <s v="Main"/>
    <n v="3109"/>
    <n v="37308"/>
    <n v="3"/>
    <s v="MEDIUM"/>
    <n v="1"/>
    <n v="0"/>
    <n v="9"/>
  </r>
  <r>
    <n v="256"/>
    <s v="Lama"/>
    <s v="Yasin"/>
    <s v="LamaYasin"/>
    <s v="Female"/>
    <x v="187"/>
    <x v="1"/>
    <x v="0"/>
    <x v="2"/>
    <x v="0"/>
    <s v="Main"/>
    <n v="2832"/>
    <n v="33984"/>
    <n v="5"/>
    <s v="HIGH"/>
    <n v="1"/>
    <n v="0"/>
    <n v="5"/>
  </r>
  <r>
    <n v="257"/>
    <s v="Asf"/>
    <s v="Abultif"/>
    <s v="AsfAbultif"/>
    <s v="Male"/>
    <x v="234"/>
    <x v="0"/>
    <x v="0"/>
    <x v="2"/>
    <x v="0"/>
    <s v="Main"/>
    <n v="2940"/>
    <n v="35280"/>
    <n v="1"/>
    <s v="LOW"/>
    <n v="6"/>
    <n v="4"/>
    <n v="7"/>
  </r>
  <r>
    <n v="258"/>
    <s v="Ahmad"/>
    <s v="Alshalaq"/>
    <s v="AhmadAlshalaq"/>
    <s v="Male"/>
    <x v="235"/>
    <x v="3"/>
    <x v="0"/>
    <x v="3"/>
    <x v="3"/>
    <s v="North"/>
    <n v="983"/>
    <n v="11796"/>
    <n v="5"/>
    <s v="HIGH"/>
    <n v="0"/>
    <n v="0"/>
    <n v="13"/>
  </r>
  <r>
    <n v="259"/>
    <s v="Mazin"/>
    <s v="Zawal"/>
    <s v="MazinZawal"/>
    <s v="Male"/>
    <x v="236"/>
    <x v="1"/>
    <x v="0"/>
    <x v="7"/>
    <x v="0"/>
    <s v="North"/>
    <n v="1223"/>
    <n v="14676"/>
    <n v="1"/>
    <s v="LOW"/>
    <n v="6"/>
    <n v="0"/>
    <n v="10"/>
  </r>
  <r>
    <n v="260"/>
    <s v="Diana"/>
    <s v="Aleabd"/>
    <s v="DianaAleabd"/>
    <s v="Female"/>
    <x v="237"/>
    <x v="1"/>
    <x v="0"/>
    <x v="16"/>
    <x v="0"/>
    <s v="North"/>
    <n v="833"/>
    <n v="9996"/>
    <n v="1"/>
    <s v="LOW"/>
    <n v="1"/>
    <n v="0"/>
    <n v="5"/>
  </r>
  <r>
    <n v="261"/>
    <s v="Kawkab"/>
    <s v="Qarqazan"/>
    <s v="KawkabQarqazan"/>
    <s v="Female"/>
    <x v="238"/>
    <x v="0"/>
    <x v="0"/>
    <x v="0"/>
    <x v="0"/>
    <s v="West"/>
    <n v="2074"/>
    <n v="24888"/>
    <n v="3"/>
    <s v="MEDIUM"/>
    <n v="1"/>
    <n v="0"/>
    <n v="2"/>
  </r>
  <r>
    <n v="262"/>
    <s v="Thamir"/>
    <s v="Abu Ghazy"/>
    <s v="ThamirAbu Ghazy"/>
    <s v="Male"/>
    <x v="239"/>
    <x v="2"/>
    <x v="1"/>
    <x v="0"/>
    <x v="2"/>
    <s v="South"/>
    <n v="2811"/>
    <n v="33732"/>
    <n v="3"/>
    <s v="MEDIUM"/>
    <n v="0"/>
    <n v="1"/>
    <n v="9"/>
  </r>
  <r>
    <n v="263"/>
    <s v="Muhamad"/>
    <s v="Alabth"/>
    <s v="MuhamadAlabth"/>
    <s v="Male"/>
    <x v="35"/>
    <x v="3"/>
    <x v="0"/>
    <x v="0"/>
    <x v="1"/>
    <s v="North"/>
    <n v="1436"/>
    <n v="17232"/>
    <n v="4.5"/>
    <s v="HIGH"/>
    <n v="3"/>
    <n v="4"/>
    <n v="4"/>
  </r>
  <r>
    <n v="264"/>
    <s v="Khadijah"/>
    <s v="Abu Taqih"/>
    <s v="KhadijahAbu Taqih"/>
    <s v="Female"/>
    <x v="240"/>
    <x v="3"/>
    <x v="0"/>
    <x v="2"/>
    <x v="0"/>
    <s v="North"/>
    <n v="1041"/>
    <n v="12492"/>
    <n v="2"/>
    <s v="LOW"/>
    <n v="2"/>
    <n v="0"/>
    <n v="5"/>
  </r>
  <r>
    <n v="265"/>
    <s v="Salwaa"/>
    <s v="Alsyd"/>
    <s v="SalwaaAlsyd"/>
    <s v="Female"/>
    <x v="241"/>
    <x v="0"/>
    <x v="0"/>
    <x v="0"/>
    <x v="0"/>
    <s v="Main"/>
    <n v="2231"/>
    <n v="26772"/>
    <n v="3"/>
    <s v="MEDIUM"/>
    <n v="0"/>
    <n v="0"/>
    <n v="87"/>
  </r>
  <r>
    <n v="266"/>
    <s v="Muayid"/>
    <s v="Shbyb"/>
    <s v="MuayidShbyb"/>
    <s v="Male"/>
    <x v="242"/>
    <x v="0"/>
    <x v="0"/>
    <x v="9"/>
    <x v="2"/>
    <s v="West"/>
    <n v="1036"/>
    <n v="12432"/>
    <n v="3"/>
    <s v="MEDIUM"/>
    <n v="0"/>
    <n v="0"/>
    <n v="1"/>
  </r>
  <r>
    <n v="267"/>
    <s v="Rannym"/>
    <s v="Tyru"/>
    <s v="RannymTyru"/>
    <s v="Female"/>
    <x v="243"/>
    <x v="1"/>
    <x v="0"/>
    <x v="0"/>
    <x v="0"/>
    <s v="North"/>
    <n v="2143"/>
    <n v="25716"/>
    <n v="5"/>
    <s v="HIGH"/>
    <n v="0"/>
    <n v="0"/>
    <n v="45"/>
  </r>
  <r>
    <n v="268"/>
    <s v="Iin"/>
    <s v="Alhaju Bikr"/>
    <s v="IinAlhaju Bikr"/>
    <s v="Female"/>
    <x v="244"/>
    <x v="3"/>
    <x v="0"/>
    <x v="12"/>
    <x v="2"/>
    <s v="South"/>
    <n v="967"/>
    <n v="11604"/>
    <n v="5"/>
    <s v="HIGH"/>
    <n v="0"/>
    <n v="4"/>
    <n v="9"/>
  </r>
  <r>
    <n v="269"/>
    <s v="Jihad"/>
    <s v="Aldukifi"/>
    <s v="JihadAldukifi"/>
    <s v="Male"/>
    <x v="245"/>
    <x v="1"/>
    <x v="0"/>
    <x v="3"/>
    <x v="0"/>
    <s v="South"/>
    <n v="2510"/>
    <n v="30120"/>
    <n v="1"/>
    <s v="LOW"/>
    <n v="0"/>
    <n v="0"/>
    <n v="3"/>
  </r>
  <r>
    <n v="270"/>
    <s v="Sandurana"/>
    <s v="Antun"/>
    <s v="SanduranaAntun"/>
    <s v="Female"/>
    <x v="246"/>
    <x v="0"/>
    <x v="0"/>
    <x v="9"/>
    <x v="0"/>
    <s v="Main"/>
    <n v="3364"/>
    <n v="40368"/>
    <n v="2"/>
    <s v="LOW"/>
    <n v="0"/>
    <n v="0"/>
    <n v="1"/>
  </r>
  <r>
    <n v="271"/>
    <s v="Eala"/>
    <s v="Darkzifli"/>
    <s v="EalaDarkzifli"/>
    <s v="Female"/>
    <x v="247"/>
    <x v="0"/>
    <x v="0"/>
    <x v="12"/>
    <x v="0"/>
    <s v="West"/>
    <n v="3420"/>
    <n v="41040"/>
    <n v="5"/>
    <s v="HIGH"/>
    <n v="6"/>
    <n v="0"/>
    <n v="10"/>
  </r>
  <r>
    <n v="272"/>
    <s v="Samir"/>
    <s v="Alsaeid"/>
    <s v="SamirAlsaeid"/>
    <s v="Male"/>
    <x v="39"/>
    <x v="3"/>
    <x v="0"/>
    <x v="15"/>
    <x v="2"/>
    <s v="South"/>
    <n v="2229"/>
    <n v="26748"/>
    <n v="3"/>
    <s v="MEDIUM"/>
    <n v="3"/>
    <n v="0"/>
    <n v="1"/>
  </r>
  <r>
    <n v="273"/>
    <s v="Amir"/>
    <s v="Alhifar"/>
    <s v="AmirAlhifar"/>
    <s v="Male"/>
    <x v="179"/>
    <x v="1"/>
    <x v="0"/>
    <x v="15"/>
    <x v="0"/>
    <s v="West"/>
    <n v="1910"/>
    <n v="22920"/>
    <n v="5"/>
    <s v="HIGH"/>
    <n v="2"/>
    <n v="0"/>
    <n v="5"/>
  </r>
  <r>
    <n v="274"/>
    <s v="Lama"/>
    <s v="Almala"/>
    <s v="LamaAlmala"/>
    <s v="Female"/>
    <x v="248"/>
    <x v="3"/>
    <x v="0"/>
    <x v="11"/>
    <x v="0"/>
    <s v="North"/>
    <n v="1917"/>
    <n v="23004"/>
    <n v="4.5"/>
    <s v="HIGH"/>
    <n v="0"/>
    <n v="1"/>
    <n v="84"/>
  </r>
  <r>
    <n v="275"/>
    <s v="Hasan"/>
    <s v="Kalthum"/>
    <s v="HasanKalthum"/>
    <s v="Male"/>
    <x v="249"/>
    <x v="0"/>
    <x v="0"/>
    <x v="0"/>
    <x v="0"/>
    <s v="North"/>
    <n v="831"/>
    <n v="9972"/>
    <n v="1"/>
    <s v="LOW"/>
    <n v="1"/>
    <n v="2"/>
    <n v="7"/>
  </r>
  <r>
    <n v="276"/>
    <s v="Muhamad"/>
    <s v="Saeadat"/>
    <s v="MuhamadSaeadat"/>
    <s v="Male"/>
    <x v="250"/>
    <x v="3"/>
    <x v="0"/>
    <x v="0"/>
    <x v="2"/>
    <s v="Main"/>
    <n v="2636"/>
    <n v="31632"/>
    <n v="4.5"/>
    <s v="HIGH"/>
    <n v="0"/>
    <n v="2"/>
    <n v="4"/>
  </r>
  <r>
    <n v="277"/>
    <s v="Rana"/>
    <s v="Eijrush"/>
    <s v="RanaEijrush"/>
    <s v="Female"/>
    <x v="251"/>
    <x v="0"/>
    <x v="0"/>
    <x v="5"/>
    <x v="3"/>
    <s v="Main"/>
    <n v="2929"/>
    <n v="35148"/>
    <n v="2"/>
    <s v="LOW"/>
    <n v="0"/>
    <n v="1"/>
    <n v="4"/>
  </r>
  <r>
    <n v="278"/>
    <s v="Tariq"/>
    <s v="Alkinaya"/>
    <s v="TariqAlkinaya"/>
    <s v="Male"/>
    <x v="252"/>
    <x v="3"/>
    <x v="0"/>
    <x v="0"/>
    <x v="0"/>
    <s v="North"/>
    <n v="1255"/>
    <n v="15060"/>
    <n v="1"/>
    <s v="LOW"/>
    <n v="6"/>
    <n v="0"/>
    <n v="15"/>
  </r>
  <r>
    <n v="279"/>
    <s v="Amjad"/>
    <s v="Alrz"/>
    <s v="AmjadAlrz"/>
    <s v="Male"/>
    <x v="253"/>
    <x v="1"/>
    <x v="0"/>
    <x v="0"/>
    <x v="2"/>
    <s v="Main"/>
    <n v="2210"/>
    <n v="26520"/>
    <n v="3"/>
    <s v="MEDIUM"/>
    <n v="0"/>
    <n v="0"/>
    <n v="13"/>
  </r>
  <r>
    <n v="280"/>
    <s v="Daniah"/>
    <s v="Alhariri"/>
    <s v="DaniahAlhariri"/>
    <s v="Female"/>
    <x v="254"/>
    <x v="3"/>
    <x v="0"/>
    <x v="0"/>
    <x v="0"/>
    <s v="North"/>
    <n v="1788"/>
    <n v="21456"/>
    <n v="5"/>
    <s v="HIGH"/>
    <n v="1"/>
    <n v="0"/>
    <n v="9"/>
  </r>
  <r>
    <n v="281"/>
    <s v="Hasan"/>
    <s v="Quidr"/>
    <s v="HasanQuidr"/>
    <s v="Male"/>
    <x v="255"/>
    <x v="1"/>
    <x v="0"/>
    <x v="0"/>
    <x v="0"/>
    <s v="North"/>
    <n v="2488"/>
    <n v="29856"/>
    <n v="5"/>
    <s v="HIGH"/>
    <n v="0"/>
    <n v="5"/>
    <n v="3"/>
  </r>
  <r>
    <n v="282"/>
    <s v="Muhamad"/>
    <s v="Shaykh Janid"/>
    <s v="MuhamadShaykh Janid"/>
    <s v="Male"/>
    <x v="164"/>
    <x v="1"/>
    <x v="0"/>
    <x v="2"/>
    <x v="0"/>
    <s v="North"/>
    <n v="2187"/>
    <n v="26244"/>
    <n v="5"/>
    <s v="HIGH"/>
    <n v="1"/>
    <n v="3"/>
    <n v="2"/>
  </r>
  <r>
    <n v="283"/>
    <s v="Esamat"/>
    <s v="Zaza"/>
    <s v="EsamatZaza"/>
    <s v="Male"/>
    <x v="130"/>
    <x v="1"/>
    <x v="0"/>
    <x v="0"/>
    <x v="0"/>
    <s v="Main"/>
    <n v="1366"/>
    <n v="16392"/>
    <n v="2"/>
    <s v="LOW"/>
    <n v="0"/>
    <n v="0"/>
    <n v="13"/>
  </r>
  <r>
    <n v="284"/>
    <s v="Fadi"/>
    <s v="Hububati"/>
    <s v="FadiHububati"/>
    <s v="Male"/>
    <x v="77"/>
    <x v="3"/>
    <x v="0"/>
    <x v="12"/>
    <x v="0"/>
    <s v="West"/>
    <n v="2612"/>
    <n v="31344"/>
    <n v="5"/>
    <s v="HIGH"/>
    <n v="0"/>
    <n v="0"/>
    <n v="8"/>
  </r>
  <r>
    <n v="285"/>
    <s v="Adnan"/>
    <s v="Alhusayn"/>
    <s v="AdnanAlhusayn"/>
    <s v="Male"/>
    <x v="256"/>
    <x v="0"/>
    <x v="0"/>
    <x v="5"/>
    <x v="2"/>
    <s v="Main"/>
    <n v="2246"/>
    <n v="26952"/>
    <n v="5"/>
    <s v="HIGH"/>
    <n v="0"/>
    <n v="0"/>
    <n v="8"/>
  </r>
  <r>
    <n v="286"/>
    <s v="Muhamad"/>
    <s v="Allibad"/>
    <s v="MuhamadAllibad"/>
    <s v="Male"/>
    <x v="257"/>
    <x v="0"/>
    <x v="0"/>
    <x v="0"/>
    <x v="0"/>
    <s v="Main"/>
    <n v="2761"/>
    <n v="33132"/>
    <n v="5"/>
    <s v="HIGH"/>
    <n v="0"/>
    <n v="2"/>
    <n v="5"/>
  </r>
  <r>
    <n v="287"/>
    <s v="Tana"/>
    <s v="Dahruj"/>
    <s v="TanaDahruj"/>
    <s v="Female"/>
    <x v="258"/>
    <x v="3"/>
    <x v="0"/>
    <x v="15"/>
    <x v="0"/>
    <s v="Main"/>
    <n v="1536"/>
    <n v="18432"/>
    <n v="4.5"/>
    <s v="HIGH"/>
    <n v="0"/>
    <n v="0"/>
    <n v="76"/>
  </r>
  <r>
    <n v="288"/>
    <s v="Muhamad"/>
    <s v="Almtlq"/>
    <s v="MuhamadAlmtlq"/>
    <s v="Male"/>
    <x v="259"/>
    <x v="5"/>
    <x v="1"/>
    <x v="13"/>
    <x v="1"/>
    <s v="South"/>
    <n v="2180"/>
    <n v="26160"/>
    <n v="4.5"/>
    <s v="HIGH"/>
    <n v="0"/>
    <n v="0"/>
    <n v="80"/>
  </r>
  <r>
    <n v="289"/>
    <s v="Sana"/>
    <s v="Alhusayn"/>
    <s v="SanaAlhusayn"/>
    <s v="Female"/>
    <x v="260"/>
    <x v="3"/>
    <x v="0"/>
    <x v="5"/>
    <x v="0"/>
    <s v="Main"/>
    <n v="3412"/>
    <n v="40944"/>
    <n v="5"/>
    <s v="HIGH"/>
    <n v="2"/>
    <n v="0"/>
    <n v="3"/>
  </r>
  <r>
    <n v="290"/>
    <s v="Muhamad"/>
    <s v="Bdraldyn"/>
    <s v="MuhamadBdraldyn"/>
    <s v="Male"/>
    <x v="169"/>
    <x v="0"/>
    <x v="0"/>
    <x v="8"/>
    <x v="0"/>
    <s v="Main"/>
    <n v="2546"/>
    <n v="30552"/>
    <n v="4.5"/>
    <s v="HIGH"/>
    <n v="0"/>
    <n v="0"/>
    <n v="6"/>
  </r>
  <r>
    <n v="291"/>
    <s v="Muhamad"/>
    <s v="Eataya"/>
    <s v="MuhamadEataya"/>
    <s v="Male"/>
    <x v="261"/>
    <x v="2"/>
    <x v="1"/>
    <x v="16"/>
    <x v="0"/>
    <s v="North"/>
    <n v="1856"/>
    <n v="22272"/>
    <n v="5"/>
    <s v="HIGH"/>
    <n v="0"/>
    <n v="0"/>
    <n v="0"/>
  </r>
  <r>
    <n v="292"/>
    <s v="Fadi"/>
    <s v="Aljizamati"/>
    <s v="FadiAljizamati"/>
    <s v="Male"/>
    <x v="108"/>
    <x v="3"/>
    <x v="0"/>
    <x v="3"/>
    <x v="0"/>
    <s v="Main"/>
    <n v="3220"/>
    <n v="38640"/>
    <n v="5"/>
    <s v="HIGH"/>
    <n v="6"/>
    <n v="0"/>
    <n v="3"/>
  </r>
  <r>
    <n v="293"/>
    <s v="Alaa"/>
    <s v="Alqasir"/>
    <s v="AlaaAlqasir"/>
    <s v="Male"/>
    <x v="262"/>
    <x v="5"/>
    <x v="1"/>
    <x v="2"/>
    <x v="1"/>
    <s v="Main"/>
    <n v="3061"/>
    <n v="36732"/>
    <n v="5"/>
    <s v="HIGH"/>
    <n v="0"/>
    <n v="0"/>
    <n v="3"/>
  </r>
  <r>
    <n v="294"/>
    <s v="Abd Alruhmin"/>
    <s v="Salih"/>
    <s v="Abd AlruhminSalih"/>
    <s v="Male"/>
    <x v="263"/>
    <x v="2"/>
    <x v="1"/>
    <x v="11"/>
    <x v="1"/>
    <s v="North"/>
    <n v="2221"/>
    <n v="26652"/>
    <n v="2"/>
    <s v="LOW"/>
    <n v="0"/>
    <n v="0"/>
    <n v="1"/>
  </r>
  <r>
    <n v="295"/>
    <s v="Shilan"/>
    <s v="Ahmad"/>
    <s v="ShilanAhmad"/>
    <s v="Female"/>
    <x v="264"/>
    <x v="2"/>
    <x v="1"/>
    <x v="0"/>
    <x v="1"/>
    <s v="South"/>
    <n v="1799"/>
    <n v="21588"/>
    <n v="4.5"/>
    <s v="HIGH"/>
    <n v="2"/>
    <n v="0"/>
    <n v="6"/>
  </r>
  <r>
    <n v="296"/>
    <s v="Hasan"/>
    <s v="Aljasim"/>
    <s v="HasanAljasim"/>
    <s v="Male"/>
    <x v="265"/>
    <x v="2"/>
    <x v="1"/>
    <x v="5"/>
    <x v="0"/>
    <s v="South"/>
    <n v="2082"/>
    <n v="24984"/>
    <n v="3"/>
    <s v="MEDIUM"/>
    <n v="0"/>
    <n v="0"/>
    <n v="1"/>
  </r>
  <r>
    <n v="297"/>
    <s v="Khalil"/>
    <s v="Salam"/>
    <s v="KhalilSalam"/>
    <s v="Male"/>
    <x v="266"/>
    <x v="5"/>
    <x v="1"/>
    <x v="15"/>
    <x v="2"/>
    <s v="North"/>
    <n v="1490"/>
    <n v="17880"/>
    <n v="4.5"/>
    <s v="HIGH"/>
    <n v="0"/>
    <n v="2"/>
    <n v="6"/>
  </r>
  <r>
    <n v="298"/>
    <s v="Majd"/>
    <s v="Abuhamd"/>
    <s v="MajdAbuhamd"/>
    <s v="Female"/>
    <x v="267"/>
    <x v="3"/>
    <x v="0"/>
    <x v="5"/>
    <x v="2"/>
    <s v="North"/>
    <n v="2042"/>
    <n v="24504"/>
    <n v="4.5"/>
    <s v="HIGH"/>
    <n v="0"/>
    <n v="0"/>
    <n v="10"/>
  </r>
  <r>
    <n v="299"/>
    <s v="Sami"/>
    <s v="Qareush"/>
    <s v="SamiQareush"/>
    <s v="Male"/>
    <x v="268"/>
    <x v="5"/>
    <x v="1"/>
    <x v="9"/>
    <x v="3"/>
    <s v="Main"/>
    <n v="985"/>
    <n v="11820"/>
    <n v="5"/>
    <s v="HIGH"/>
    <n v="1"/>
    <n v="0"/>
    <n v="5"/>
  </r>
  <r>
    <n v="300"/>
    <s v="Rima"/>
    <s v="Jaridiun"/>
    <s v="RimaJaridiun"/>
    <s v="Female"/>
    <x v="269"/>
    <x v="2"/>
    <x v="1"/>
    <x v="4"/>
    <x v="0"/>
    <s v="North"/>
    <n v="1988"/>
    <n v="23856"/>
    <n v="3"/>
    <s v="MEDIUM"/>
    <n v="0"/>
    <n v="0"/>
    <n v="7"/>
  </r>
  <r>
    <n v="301"/>
    <s v="Iin"/>
    <s v="Alhumwi"/>
    <s v="IinAlhumwi"/>
    <s v="Female"/>
    <x v="81"/>
    <x v="0"/>
    <x v="0"/>
    <x v="5"/>
    <x v="1"/>
    <s v="South"/>
    <n v="1545"/>
    <n v="18540"/>
    <n v="5"/>
    <s v="HIGH"/>
    <n v="1"/>
    <n v="0"/>
    <n v="1"/>
  </r>
  <r>
    <n v="302"/>
    <s v="Akthum"/>
    <s v="Eibdalbaqi"/>
    <s v="AkthumEibdalbaqi"/>
    <s v="Male"/>
    <x v="270"/>
    <x v="1"/>
    <x v="0"/>
    <x v="11"/>
    <x v="0"/>
    <s v="Main"/>
    <n v="2637"/>
    <n v="31644"/>
    <n v="5"/>
    <s v="HIGH"/>
    <n v="0"/>
    <n v="0"/>
    <n v="50"/>
  </r>
  <r>
    <n v="303"/>
    <s v="Muhamad"/>
    <s v="Almurashihi"/>
    <s v="MuhamadAlmurashihi"/>
    <s v="Male"/>
    <x v="271"/>
    <x v="3"/>
    <x v="0"/>
    <x v="2"/>
    <x v="1"/>
    <s v="North"/>
    <n v="1385"/>
    <n v="16620"/>
    <n v="4.5"/>
    <s v="HIGH"/>
    <n v="0"/>
    <n v="0"/>
    <n v="6"/>
  </r>
  <r>
    <n v="304"/>
    <s v="Batual"/>
    <s v="Abu Fakhar"/>
    <s v="BatualAbu Fakhar"/>
    <s v="Female"/>
    <x v="272"/>
    <x v="2"/>
    <x v="1"/>
    <x v="2"/>
    <x v="2"/>
    <s v="South"/>
    <n v="2468"/>
    <n v="29616"/>
    <n v="1"/>
    <s v="LOW"/>
    <n v="4"/>
    <n v="0"/>
    <n v="3"/>
  </r>
  <r>
    <n v="305"/>
    <s v="Rinah"/>
    <s v="Alkhuriu"/>
    <s v="RinahAlkhuriu"/>
    <s v="Female"/>
    <x v="64"/>
    <x v="0"/>
    <x v="0"/>
    <x v="13"/>
    <x v="3"/>
    <s v="Main"/>
    <n v="2098"/>
    <n v="25176"/>
    <n v="4.5"/>
    <s v="HIGH"/>
    <n v="0"/>
    <n v="0"/>
    <n v="3"/>
  </r>
  <r>
    <n v="306"/>
    <s v="Muhamad"/>
    <s v="Alsaqaraq"/>
    <s v="MuhamadAlsaqaraq"/>
    <s v="Male"/>
    <x v="273"/>
    <x v="3"/>
    <x v="0"/>
    <x v="9"/>
    <x v="2"/>
    <s v="Main"/>
    <n v="2302"/>
    <n v="27624"/>
    <n v="3"/>
    <s v="MEDIUM"/>
    <n v="6"/>
    <n v="0"/>
    <n v="6"/>
  </r>
  <r>
    <n v="307"/>
    <s v="Diea"/>
    <s v="Sharina"/>
    <s v="DieaSharina"/>
    <s v="Male"/>
    <x v="274"/>
    <x v="3"/>
    <x v="0"/>
    <x v="8"/>
    <x v="0"/>
    <s v="Main"/>
    <n v="1623"/>
    <n v="19476"/>
    <n v="1"/>
    <s v="LOW"/>
    <n v="6"/>
    <n v="0"/>
    <n v="4"/>
  </r>
  <r>
    <n v="308"/>
    <s v="Jablah"/>
    <s v="Alsulayman"/>
    <s v="JablahAlsulayman"/>
    <s v="Female"/>
    <x v="275"/>
    <x v="0"/>
    <x v="0"/>
    <x v="12"/>
    <x v="4"/>
    <s v="Main"/>
    <n v="1333"/>
    <n v="15996"/>
    <n v="3"/>
    <s v="MEDIUM"/>
    <n v="1"/>
    <n v="6"/>
    <n v="10"/>
  </r>
  <r>
    <n v="309"/>
    <s v="Muhamad"/>
    <s v="Almaghribiu"/>
    <s v="MuhamadAlmaghribiu"/>
    <s v="Male"/>
    <x v="276"/>
    <x v="5"/>
    <x v="1"/>
    <x v="0"/>
    <x v="2"/>
    <s v="Main"/>
    <n v="1431"/>
    <n v="17172"/>
    <n v="5"/>
    <s v="HIGH"/>
    <n v="0"/>
    <n v="0"/>
    <n v="4"/>
  </r>
  <r>
    <n v="310"/>
    <s v="Kholoud"/>
    <s v="Khayti"/>
    <s v="KholoudKhayti"/>
    <s v="Female"/>
    <x v="277"/>
    <x v="3"/>
    <x v="0"/>
    <x v="2"/>
    <x v="0"/>
    <s v="West"/>
    <n v="2527"/>
    <n v="30324"/>
    <n v="3"/>
    <s v="MEDIUM"/>
    <n v="0"/>
    <n v="0"/>
    <n v="98"/>
  </r>
  <r>
    <n v="311"/>
    <s v="Rahaf"/>
    <s v="Jamul"/>
    <s v="RahafJamul"/>
    <s v="Female"/>
    <x v="278"/>
    <x v="5"/>
    <x v="1"/>
    <x v="2"/>
    <x v="0"/>
    <s v="South"/>
    <n v="2631"/>
    <n v="31572"/>
    <n v="3"/>
    <s v="MEDIUM"/>
    <n v="0"/>
    <n v="0"/>
    <n v="7"/>
  </r>
  <r>
    <n v="312"/>
    <s v="Faras"/>
    <s v="Alrahil"/>
    <s v="FarasAlrahil"/>
    <s v="Male"/>
    <x v="239"/>
    <x v="2"/>
    <x v="1"/>
    <x v="9"/>
    <x v="0"/>
    <s v="West"/>
    <n v="1600"/>
    <n v="19200"/>
    <n v="4.5"/>
    <s v="HIGH"/>
    <n v="0"/>
    <n v="0"/>
    <n v="0"/>
  </r>
  <r>
    <n v="313"/>
    <s v="Abd Alrazzaq"/>
    <s v="Gharah"/>
    <s v="Abd AlrazzaqGharah"/>
    <s v="Male"/>
    <x v="224"/>
    <x v="1"/>
    <x v="0"/>
    <x v="14"/>
    <x v="0"/>
    <s v="Main"/>
    <n v="2752"/>
    <n v="33024"/>
    <n v="5"/>
    <s v="HIGH"/>
    <n v="0"/>
    <n v="0"/>
    <n v="4"/>
  </r>
  <r>
    <n v="314"/>
    <s v="Alaa"/>
    <s v="Saed"/>
    <s v="AlaaSaed"/>
    <s v="Female"/>
    <x v="279"/>
    <x v="1"/>
    <x v="0"/>
    <x v="0"/>
    <x v="0"/>
    <s v="Main"/>
    <n v="3125"/>
    <n v="37500"/>
    <n v="5"/>
    <s v="HIGH"/>
    <n v="0"/>
    <n v="0"/>
    <n v="5"/>
  </r>
  <r>
    <n v="315"/>
    <s v="Lylas"/>
    <s v="Shiah"/>
    <s v="LylasShiah"/>
    <s v="Female"/>
    <x v="280"/>
    <x v="3"/>
    <x v="0"/>
    <x v="7"/>
    <x v="1"/>
    <s v="West"/>
    <n v="2091"/>
    <n v="25092"/>
    <n v="2"/>
    <s v="LOW"/>
    <n v="0"/>
    <n v="1"/>
    <n v="9"/>
  </r>
  <r>
    <n v="316"/>
    <s v="Kinda"/>
    <s v="Alaqre"/>
    <s v="KindaAlaqre"/>
    <s v="Female"/>
    <x v="281"/>
    <x v="5"/>
    <x v="1"/>
    <x v="9"/>
    <x v="2"/>
    <s v="Main"/>
    <n v="1009"/>
    <n v="12108"/>
    <n v="4.5"/>
    <s v="HIGH"/>
    <n v="0"/>
    <n v="0"/>
    <n v="17"/>
  </r>
  <r>
    <n v="317"/>
    <s v="Muhamad"/>
    <s v="Almisri"/>
    <s v="MuhamadAlmisri"/>
    <s v="Male"/>
    <x v="282"/>
    <x v="1"/>
    <x v="0"/>
    <x v="0"/>
    <x v="1"/>
    <s v="Main"/>
    <n v="3443"/>
    <n v="41316"/>
    <n v="1"/>
    <s v="LOW"/>
    <n v="0"/>
    <n v="0"/>
    <n v="1"/>
  </r>
  <r>
    <n v="318"/>
    <s v="Dinana"/>
    <s v="Zaydan"/>
    <s v="DinanaZaydan"/>
    <s v="Female"/>
    <x v="283"/>
    <x v="2"/>
    <x v="1"/>
    <x v="2"/>
    <x v="3"/>
    <s v="West"/>
    <n v="1582"/>
    <n v="18984"/>
    <n v="4.5"/>
    <s v="HIGH"/>
    <n v="0"/>
    <n v="0"/>
    <n v="5"/>
  </r>
  <r>
    <n v="319"/>
    <s v="Amyrah"/>
    <s v="Mudinih"/>
    <s v="AmyrahMudinih"/>
    <s v="Female"/>
    <x v="284"/>
    <x v="0"/>
    <x v="0"/>
    <x v="9"/>
    <x v="2"/>
    <s v="North"/>
    <n v="2103"/>
    <n v="25236"/>
    <n v="5"/>
    <s v="HIGH"/>
    <n v="1"/>
    <n v="1"/>
    <n v="2"/>
  </r>
  <r>
    <n v="320"/>
    <s v="Safa"/>
    <s v="AlAhmar"/>
    <s v="SafaAlAhmar"/>
    <s v="Female"/>
    <x v="285"/>
    <x v="2"/>
    <x v="1"/>
    <x v="14"/>
    <x v="0"/>
    <s v="Main"/>
    <n v="3108"/>
    <n v="37296"/>
    <n v="1"/>
    <s v="LOW"/>
    <n v="0"/>
    <n v="0"/>
    <n v="45"/>
  </r>
  <r>
    <n v="321"/>
    <s v="Ahmad"/>
    <s v="Eurman"/>
    <s v="AhmadEurman"/>
    <s v="Male"/>
    <x v="286"/>
    <x v="5"/>
    <x v="1"/>
    <x v="2"/>
    <x v="0"/>
    <s v="Main"/>
    <n v="1810"/>
    <n v="21720"/>
    <n v="3"/>
    <s v="MEDIUM"/>
    <n v="0"/>
    <n v="0"/>
    <n v="5"/>
  </r>
  <r>
    <n v="322"/>
    <s v="Abd Allah"/>
    <s v="Almawsiliu"/>
    <s v="Abd AllahAlmawsiliu"/>
    <s v="Male"/>
    <x v="287"/>
    <x v="0"/>
    <x v="0"/>
    <x v="15"/>
    <x v="1"/>
    <s v="West"/>
    <n v="2312"/>
    <n v="27744"/>
    <n v="3"/>
    <s v="MEDIUM"/>
    <n v="3"/>
    <n v="0"/>
    <n v="10"/>
  </r>
  <r>
    <n v="323"/>
    <s v="Majd"/>
    <s v="Eisaa"/>
    <s v="MajdEisaa"/>
    <s v="Female"/>
    <x v="288"/>
    <x v="1"/>
    <x v="0"/>
    <x v="8"/>
    <x v="0"/>
    <s v="Main"/>
    <n v="2783"/>
    <n v="33396"/>
    <n v="1"/>
    <s v="LOW"/>
    <n v="2"/>
    <n v="0"/>
    <n v="15"/>
  </r>
  <r>
    <n v="324"/>
    <s v="Muhamad"/>
    <s v="Salhany"/>
    <s v="MuhamadSalhany"/>
    <s v="Male"/>
    <x v="225"/>
    <x v="1"/>
    <x v="0"/>
    <x v="0"/>
    <x v="0"/>
    <s v="Main"/>
    <n v="3428"/>
    <n v="41136"/>
    <n v="3"/>
    <s v="MEDIUM"/>
    <n v="5"/>
    <n v="0"/>
    <n v="10"/>
  </r>
  <r>
    <n v="325"/>
    <s v="Ashraf"/>
    <s v="Aleid"/>
    <s v="AshrafAleid"/>
    <s v="Male"/>
    <x v="272"/>
    <x v="2"/>
    <x v="1"/>
    <x v="5"/>
    <x v="0"/>
    <s v="North"/>
    <n v="3450"/>
    <n v="41400"/>
    <n v="2"/>
    <s v="LOW"/>
    <n v="0"/>
    <n v="4"/>
    <n v="9"/>
  </r>
  <r>
    <n v="326"/>
    <s v="Muhamad"/>
    <s v="Shadi Alghazy"/>
    <s v="MuhamadShadi Alghazy"/>
    <s v="Male"/>
    <x v="103"/>
    <x v="0"/>
    <x v="0"/>
    <x v="19"/>
    <x v="2"/>
    <s v="Main"/>
    <n v="1226"/>
    <n v="14712"/>
    <n v="2"/>
    <s v="LOW"/>
    <n v="6"/>
    <n v="5"/>
    <n v="4"/>
  </r>
  <r>
    <n v="327"/>
    <s v="Muhamad"/>
    <s v="Husayn"/>
    <s v="MuhamadHusayn"/>
    <s v="Male"/>
    <x v="289"/>
    <x v="3"/>
    <x v="0"/>
    <x v="12"/>
    <x v="0"/>
    <s v="North"/>
    <n v="3219"/>
    <n v="38628"/>
    <n v="3"/>
    <s v="MEDIUM"/>
    <n v="0"/>
    <n v="0"/>
    <n v="5"/>
  </r>
  <r>
    <n v="328"/>
    <s v="Mazin"/>
    <s v="Bytar"/>
    <s v="MazinBytar"/>
    <s v="Male"/>
    <x v="290"/>
    <x v="3"/>
    <x v="0"/>
    <x v="0"/>
    <x v="1"/>
    <s v="Main"/>
    <n v="2060"/>
    <n v="24720"/>
    <n v="5"/>
    <s v="HIGH"/>
    <n v="0"/>
    <n v="0"/>
    <n v="14"/>
  </r>
  <r>
    <n v="329"/>
    <s v="Iin"/>
    <s v="Farahat"/>
    <s v="IinFarahat"/>
    <s v="Female"/>
    <x v="291"/>
    <x v="0"/>
    <x v="0"/>
    <x v="7"/>
    <x v="3"/>
    <s v="Main"/>
    <n v="2479"/>
    <n v="29748"/>
    <n v="5"/>
    <s v="HIGH"/>
    <n v="0"/>
    <n v="2"/>
    <n v="3"/>
  </r>
  <r>
    <n v="330"/>
    <s v="Lama"/>
    <s v="Albazir"/>
    <s v="LamaAlbazir"/>
    <s v="Female"/>
    <x v="292"/>
    <x v="0"/>
    <x v="0"/>
    <x v="3"/>
    <x v="2"/>
    <s v="Main"/>
    <n v="2106"/>
    <n v="25272"/>
    <n v="3"/>
    <s v="MEDIUM"/>
    <n v="0"/>
    <n v="0"/>
    <n v="9"/>
  </r>
  <r>
    <n v="331"/>
    <s v="Emar"/>
    <s v="Alnisrin"/>
    <s v="EmarAlnisrin"/>
    <s v="Female"/>
    <x v="293"/>
    <x v="3"/>
    <x v="0"/>
    <x v="2"/>
    <x v="1"/>
    <s v="South"/>
    <n v="1480"/>
    <n v="17760"/>
    <n v="2"/>
    <s v="LOW"/>
    <n v="0"/>
    <n v="0"/>
    <n v="10"/>
  </r>
  <r>
    <n v="332"/>
    <s v="Afra"/>
    <s v="Sharabi"/>
    <s v="AfraSharabi"/>
    <s v="Female"/>
    <x v="294"/>
    <x v="2"/>
    <x v="1"/>
    <x v="2"/>
    <x v="0"/>
    <s v="West"/>
    <n v="994"/>
    <n v="11928"/>
    <n v="1"/>
    <s v="LOW"/>
    <n v="0"/>
    <n v="0"/>
    <n v="9"/>
  </r>
  <r>
    <n v="333"/>
    <s v="Ahmad"/>
    <s v="Hamuwd"/>
    <s v="AhmadHamuwd"/>
    <s v="Male"/>
    <x v="73"/>
    <x v="3"/>
    <x v="0"/>
    <x v="8"/>
    <x v="2"/>
    <s v="Main"/>
    <n v="2119"/>
    <n v="25428"/>
    <n v="4.5"/>
    <s v="HIGH"/>
    <n v="1"/>
    <n v="5"/>
    <n v="0"/>
  </r>
  <r>
    <n v="334"/>
    <s v="Ramiz"/>
    <s v="Aleuryan"/>
    <s v="RamizAleuryan"/>
    <s v="Male"/>
    <x v="295"/>
    <x v="0"/>
    <x v="0"/>
    <x v="7"/>
    <x v="0"/>
    <s v="Main"/>
    <n v="1577"/>
    <n v="18924"/>
    <n v="4.5"/>
    <s v="HIGH"/>
    <n v="0"/>
    <n v="0"/>
    <n v="7"/>
  </r>
  <r>
    <n v="335"/>
    <s v="Iad"/>
    <s v="Eaku"/>
    <s v="IadEaku"/>
    <s v="Male"/>
    <x v="296"/>
    <x v="0"/>
    <x v="0"/>
    <x v="0"/>
    <x v="2"/>
    <s v="Main"/>
    <n v="3160"/>
    <n v="37920"/>
    <n v="5"/>
    <s v="HIGH"/>
    <n v="0"/>
    <n v="5"/>
    <n v="10"/>
  </r>
  <r>
    <n v="336"/>
    <s v="Husayn"/>
    <s v="Euthman"/>
    <s v="HusaynEuthman"/>
    <s v="Male"/>
    <x v="297"/>
    <x v="1"/>
    <x v="0"/>
    <x v="13"/>
    <x v="1"/>
    <s v="Main"/>
    <n v="2692"/>
    <n v="32304"/>
    <n v="1"/>
    <s v="LOW"/>
    <n v="4"/>
    <n v="0"/>
    <n v="6"/>
  </r>
  <r>
    <n v="337"/>
    <s v="Imran"/>
    <s v="Hazruma"/>
    <s v="ImranHazruma"/>
    <s v="Male"/>
    <x v="298"/>
    <x v="0"/>
    <x v="0"/>
    <x v="5"/>
    <x v="2"/>
    <s v="South"/>
    <n v="1448"/>
    <n v="17376"/>
    <n v="4.5"/>
    <s v="HIGH"/>
    <n v="0"/>
    <n v="0"/>
    <n v="1"/>
  </r>
  <r>
    <n v="338"/>
    <s v="Rawan"/>
    <s v="Durkzili"/>
    <s v="RawanDurkzili"/>
    <s v="Female"/>
    <x v="299"/>
    <x v="0"/>
    <x v="0"/>
    <x v="2"/>
    <x v="0"/>
    <s v="West"/>
    <n v="1568"/>
    <n v="18816"/>
    <n v="3"/>
    <s v="MEDIUM"/>
    <n v="5"/>
    <n v="0"/>
    <n v="7"/>
  </r>
  <r>
    <n v="339"/>
    <s v="Muayid"/>
    <s v="Shaqir"/>
    <s v="MuayidShaqir"/>
    <s v="Male"/>
    <x v="300"/>
    <x v="5"/>
    <x v="1"/>
    <x v="8"/>
    <x v="0"/>
    <s v="North"/>
    <n v="1823"/>
    <n v="21876"/>
    <n v="4.5"/>
    <s v="HIGH"/>
    <n v="5"/>
    <n v="0"/>
    <n v="9"/>
  </r>
  <r>
    <n v="340"/>
    <s v="Muanis"/>
    <s v="Alsabagh"/>
    <s v="MuanisAlsabagh"/>
    <s v="Male"/>
    <x v="242"/>
    <x v="0"/>
    <x v="0"/>
    <x v="2"/>
    <x v="0"/>
    <s v="West"/>
    <n v="1712"/>
    <n v="20544"/>
    <n v="4.5"/>
    <s v="HIGH"/>
    <n v="0"/>
    <n v="4"/>
    <n v="15"/>
  </r>
  <r>
    <n v="341"/>
    <s v="Dijwar"/>
    <s v="Husu"/>
    <s v="DijwarHusu"/>
    <s v="Male"/>
    <x v="116"/>
    <x v="1"/>
    <x v="0"/>
    <x v="3"/>
    <x v="2"/>
    <s v="South"/>
    <n v="744"/>
    <n v="8928"/>
    <n v="5"/>
    <s v="HIGH"/>
    <n v="5"/>
    <n v="0"/>
    <n v="8"/>
  </r>
  <r>
    <n v="342"/>
    <s v="Asama"/>
    <s v="Eilwan"/>
    <s v="AsamaEilwan"/>
    <s v="Female"/>
    <x v="301"/>
    <x v="2"/>
    <x v="1"/>
    <x v="2"/>
    <x v="0"/>
    <s v="North"/>
    <n v="2972"/>
    <n v="35664"/>
    <n v="5"/>
    <s v="HIGH"/>
    <n v="0"/>
    <n v="4"/>
    <n v="2"/>
  </r>
  <r>
    <n v="343"/>
    <s v="Esamat"/>
    <s v="Alhidad"/>
    <s v="EsamatAlhidad"/>
    <s v="Male"/>
    <x v="302"/>
    <x v="3"/>
    <x v="0"/>
    <x v="5"/>
    <x v="0"/>
    <s v="North"/>
    <n v="2931"/>
    <n v="35172"/>
    <n v="3"/>
    <s v="MEDIUM"/>
    <n v="6"/>
    <n v="0"/>
    <n v="71"/>
  </r>
  <r>
    <n v="344"/>
    <s v="Tariq"/>
    <s v="Zaeur"/>
    <s v="TariqZaeur"/>
    <s v="Male"/>
    <x v="303"/>
    <x v="0"/>
    <x v="0"/>
    <x v="15"/>
    <x v="3"/>
    <s v="West"/>
    <n v="2544"/>
    <n v="30528"/>
    <n v="3"/>
    <s v="MEDIUM"/>
    <n v="0"/>
    <n v="0"/>
    <n v="2"/>
  </r>
  <r>
    <n v="345"/>
    <s v="Rasul"/>
    <s v="Aleumurii"/>
    <s v="RasulAleumurii"/>
    <s v="Male"/>
    <x v="266"/>
    <x v="5"/>
    <x v="1"/>
    <x v="2"/>
    <x v="1"/>
    <s v="Main"/>
    <n v="1595"/>
    <n v="19140"/>
    <n v="5"/>
    <s v="HIGH"/>
    <n v="0"/>
    <n v="0"/>
    <n v="0"/>
  </r>
  <r>
    <n v="346"/>
    <s v="Rawan"/>
    <s v="Albaytar"/>
    <s v="RawanAlbaytar"/>
    <s v="Female"/>
    <x v="61"/>
    <x v="0"/>
    <x v="0"/>
    <x v="5"/>
    <x v="3"/>
    <s v="West"/>
    <n v="1326"/>
    <n v="15912"/>
    <n v="3"/>
    <s v="MEDIUM"/>
    <n v="0"/>
    <n v="3"/>
    <n v="7"/>
  </r>
  <r>
    <n v="347"/>
    <s v="Omar"/>
    <s v="Altuean"/>
    <s v="OmarAltuean"/>
    <s v="Male"/>
    <x v="304"/>
    <x v="0"/>
    <x v="0"/>
    <x v="9"/>
    <x v="0"/>
    <s v="Main"/>
    <n v="3117"/>
    <n v="37404"/>
    <n v="3"/>
    <s v="MEDIUM"/>
    <n v="0"/>
    <n v="4"/>
    <n v="0"/>
  </r>
  <r>
    <n v="348"/>
    <s v="Dalia"/>
    <s v="Hamdan"/>
    <s v="DaliaHamdan"/>
    <s v="Female"/>
    <x v="305"/>
    <x v="0"/>
    <x v="0"/>
    <x v="1"/>
    <x v="0"/>
    <s v="West"/>
    <n v="3446"/>
    <n v="41352"/>
    <n v="5"/>
    <s v="HIGH"/>
    <n v="0"/>
    <n v="0"/>
    <n v="10"/>
  </r>
  <r>
    <n v="349"/>
    <s v="Omar"/>
    <s v="Alhindi"/>
    <s v="OmarAlhindi"/>
    <s v="Male"/>
    <x v="306"/>
    <x v="0"/>
    <x v="0"/>
    <x v="2"/>
    <x v="2"/>
    <s v="West"/>
    <n v="2023"/>
    <n v="24276"/>
    <n v="4.5"/>
    <s v="HIGH"/>
    <n v="6"/>
    <n v="0"/>
    <n v="6"/>
  </r>
  <r>
    <n v="350"/>
    <s v="Ali"/>
    <s v="Zyny"/>
    <s v="AliZyny"/>
    <s v="Male"/>
    <x v="307"/>
    <x v="1"/>
    <x v="0"/>
    <x v="12"/>
    <x v="0"/>
    <s v="North"/>
    <n v="979"/>
    <n v="11748"/>
    <n v="3"/>
    <s v="MEDIUM"/>
    <n v="6"/>
    <n v="0"/>
    <n v="4"/>
  </r>
  <r>
    <n v="351"/>
    <s v="Almuetaz"/>
    <s v="Biallah"/>
    <s v="AlmuetazBiallah"/>
    <s v="Male"/>
    <x v="308"/>
    <x v="1"/>
    <x v="0"/>
    <x v="17"/>
    <x v="0"/>
    <s v="Main"/>
    <n v="1676"/>
    <n v="20112"/>
    <n v="4.5"/>
    <s v="HIGH"/>
    <n v="0"/>
    <n v="0"/>
    <n v="8"/>
  </r>
  <r>
    <n v="352"/>
    <s v="Rabana"/>
    <s v="Alsaman"/>
    <s v="RabanaAlsaman"/>
    <s v="Female"/>
    <x v="309"/>
    <x v="5"/>
    <x v="1"/>
    <x v="4"/>
    <x v="0"/>
    <s v="North"/>
    <n v="3079"/>
    <n v="36948"/>
    <n v="3"/>
    <s v="MEDIUM"/>
    <n v="0"/>
    <n v="0"/>
    <n v="2"/>
  </r>
  <r>
    <n v="353"/>
    <s v="Ghada"/>
    <s v="Khalid"/>
    <s v="GhadaKhalid"/>
    <s v="Female"/>
    <x v="123"/>
    <x v="3"/>
    <x v="0"/>
    <x v="7"/>
    <x v="0"/>
    <s v="Main"/>
    <n v="2164"/>
    <n v="25968"/>
    <n v="3"/>
    <s v="MEDIUM"/>
    <n v="0"/>
    <n v="2"/>
    <n v="0"/>
  </r>
  <r>
    <n v="354"/>
    <s v="Esamat"/>
    <s v="Alriys"/>
    <s v="EsamatAlriys"/>
    <s v="Male"/>
    <x v="310"/>
    <x v="1"/>
    <x v="0"/>
    <x v="2"/>
    <x v="0"/>
    <s v="Main"/>
    <n v="2312"/>
    <n v="27744"/>
    <n v="3"/>
    <s v="MEDIUM"/>
    <n v="0"/>
    <n v="0"/>
    <n v="31"/>
  </r>
  <r>
    <n v="355"/>
    <s v="Amir"/>
    <s v="Alkhatib"/>
    <s v="AmirAlkhatib"/>
    <s v="Male"/>
    <x v="311"/>
    <x v="2"/>
    <x v="1"/>
    <x v="5"/>
    <x v="0"/>
    <s v="West"/>
    <n v="834"/>
    <n v="10008"/>
    <n v="2"/>
    <s v="LOW"/>
    <n v="6"/>
    <n v="0"/>
    <n v="13"/>
  </r>
  <r>
    <n v="356"/>
    <s v="Samirah"/>
    <s v="Jumea"/>
    <s v="SamirahJumea"/>
    <s v="Female"/>
    <x v="312"/>
    <x v="0"/>
    <x v="0"/>
    <x v="0"/>
    <x v="0"/>
    <s v="Main"/>
    <n v="723"/>
    <n v="8676"/>
    <n v="3"/>
    <s v="MEDIUM"/>
    <n v="0"/>
    <n v="0"/>
    <n v="10"/>
  </r>
  <r>
    <n v="357"/>
    <s v="Samir"/>
    <s v="Alhaj Ali"/>
    <s v="SamirAlhaj Ali"/>
    <s v="Male"/>
    <x v="313"/>
    <x v="5"/>
    <x v="1"/>
    <x v="12"/>
    <x v="0"/>
    <s v="West"/>
    <n v="2807"/>
    <n v="33684"/>
    <n v="3"/>
    <s v="MEDIUM"/>
    <n v="5"/>
    <n v="1"/>
    <n v="2"/>
  </r>
  <r>
    <n v="358"/>
    <s v="Farial"/>
    <s v="Qulumih"/>
    <s v="FarialQulumih"/>
    <s v="Female"/>
    <x v="314"/>
    <x v="2"/>
    <x v="1"/>
    <x v="9"/>
    <x v="1"/>
    <s v="North"/>
    <n v="1002"/>
    <n v="12024"/>
    <n v="5"/>
    <s v="HIGH"/>
    <n v="1"/>
    <n v="0"/>
    <n v="3"/>
  </r>
  <r>
    <n v="359"/>
    <s v="Salih"/>
    <s v="Dawara"/>
    <s v="SalihDawara"/>
    <s v="Male"/>
    <x v="315"/>
    <x v="1"/>
    <x v="0"/>
    <x v="15"/>
    <x v="0"/>
    <s v="West"/>
    <n v="2265"/>
    <n v="27180"/>
    <n v="5"/>
    <s v="HIGH"/>
    <n v="1"/>
    <n v="0"/>
    <n v="9"/>
  </r>
  <r>
    <n v="360"/>
    <s v="Abdalhadi"/>
    <s v="Salim"/>
    <s v="AbdalhadiSalim"/>
    <s v="Male"/>
    <x v="254"/>
    <x v="3"/>
    <x v="0"/>
    <x v="0"/>
    <x v="0"/>
    <s v="North"/>
    <n v="3283"/>
    <n v="39396"/>
    <n v="5"/>
    <s v="HIGH"/>
    <n v="0"/>
    <n v="0"/>
    <n v="3"/>
  </r>
  <r>
    <n v="361"/>
    <s v="Ruaa"/>
    <s v="Qahraman"/>
    <s v="RuaaQahraman"/>
    <s v="Female"/>
    <x v="316"/>
    <x v="0"/>
    <x v="0"/>
    <x v="12"/>
    <x v="0"/>
    <s v="North"/>
    <n v="2675"/>
    <n v="32100"/>
    <n v="3"/>
    <s v="MEDIUM"/>
    <n v="1"/>
    <n v="6"/>
    <n v="4"/>
  </r>
  <r>
    <n v="362"/>
    <s v="Muhamad"/>
    <s v="Mshati"/>
    <s v="MuhamadMshati"/>
    <s v="Male"/>
    <x v="82"/>
    <x v="0"/>
    <x v="0"/>
    <x v="9"/>
    <x v="2"/>
    <s v="Main"/>
    <n v="3056"/>
    <n v="36672"/>
    <n v="4.5"/>
    <s v="HIGH"/>
    <n v="0"/>
    <n v="0"/>
    <n v="9"/>
  </r>
  <r>
    <n v="363"/>
    <s v="Shadi"/>
    <s v="Altibae"/>
    <s v="ShadiAltibae"/>
    <s v="Male"/>
    <x v="317"/>
    <x v="3"/>
    <x v="0"/>
    <x v="2"/>
    <x v="0"/>
    <s v="West"/>
    <n v="1579"/>
    <n v="18948"/>
    <n v="3"/>
    <s v="MEDIUM"/>
    <n v="0"/>
    <n v="0"/>
    <n v="14"/>
  </r>
  <r>
    <n v="364"/>
    <s v="Ahmad"/>
    <s v="Iidlibi"/>
    <s v="AhmadIidlibi"/>
    <s v="Male"/>
    <x v="318"/>
    <x v="3"/>
    <x v="0"/>
    <x v="9"/>
    <x v="1"/>
    <s v="East"/>
    <n v="1255"/>
    <n v="15060"/>
    <n v="3"/>
    <s v="MEDIUM"/>
    <n v="6"/>
    <n v="0"/>
    <n v="0"/>
  </r>
  <r>
    <n v="365"/>
    <s v="Fadi"/>
    <s v="Ghazzawi"/>
    <s v="FadiGhazzawi"/>
    <s v="Male"/>
    <x v="319"/>
    <x v="0"/>
    <x v="0"/>
    <x v="0"/>
    <x v="0"/>
    <s v="East"/>
    <n v="3418"/>
    <n v="41016"/>
    <n v="3"/>
    <s v="MEDIUM"/>
    <n v="4"/>
    <n v="0"/>
    <n v="1"/>
  </r>
  <r>
    <n v="366"/>
    <s v="Basil"/>
    <s v="Eabd Aleal"/>
    <s v="BasilEabd Aleal"/>
    <s v="Male"/>
    <x v="134"/>
    <x v="1"/>
    <x v="0"/>
    <x v="9"/>
    <x v="0"/>
    <s v="East"/>
    <n v="3368"/>
    <n v="40416"/>
    <n v="3"/>
    <s v="MEDIUM"/>
    <n v="0"/>
    <n v="0"/>
    <n v="8"/>
  </r>
  <r>
    <n v="367"/>
    <s v="Sali"/>
    <s v="Musuh"/>
    <s v="SaliMusuh"/>
    <s v="Female"/>
    <x v="320"/>
    <x v="3"/>
    <x v="0"/>
    <x v="6"/>
    <x v="2"/>
    <s v="North"/>
    <n v="3275"/>
    <n v="39300"/>
    <n v="3"/>
    <s v="MEDIUM"/>
    <n v="1"/>
    <n v="2"/>
    <n v="12"/>
  </r>
  <r>
    <n v="368"/>
    <s v="Alaa"/>
    <s v="Iismaeil"/>
    <s v="AlaaIismaeil"/>
    <s v="Female"/>
    <x v="321"/>
    <x v="1"/>
    <x v="0"/>
    <x v="7"/>
    <x v="2"/>
    <s v="West"/>
    <n v="3043"/>
    <n v="36516"/>
    <n v="2"/>
    <s v="LOW"/>
    <n v="0"/>
    <n v="0"/>
    <n v="8"/>
  </r>
  <r>
    <n v="369"/>
    <s v="Maria"/>
    <s v="Alhizae"/>
    <s v="MariaAlhizae"/>
    <s v="Female"/>
    <x v="322"/>
    <x v="3"/>
    <x v="0"/>
    <x v="15"/>
    <x v="4"/>
    <s v="North"/>
    <n v="1122"/>
    <n v="13464"/>
    <n v="4.5"/>
    <s v="HIGH"/>
    <n v="2"/>
    <n v="4"/>
    <n v="7"/>
  </r>
  <r>
    <n v="370"/>
    <s v="Ghazal"/>
    <s v="Alghan"/>
    <s v="GhazalAlghan"/>
    <s v="Female"/>
    <x v="323"/>
    <x v="2"/>
    <x v="1"/>
    <x v="2"/>
    <x v="0"/>
    <s v="Main"/>
    <n v="764"/>
    <n v="9168"/>
    <n v="5"/>
    <s v="HIGH"/>
    <n v="4"/>
    <n v="1"/>
    <n v="13"/>
  </r>
  <r>
    <n v="371"/>
    <s v="Eala"/>
    <s v="Mitri"/>
    <s v="EalaMitri"/>
    <s v="Female"/>
    <x v="53"/>
    <x v="0"/>
    <x v="0"/>
    <x v="5"/>
    <x v="1"/>
    <s v="North"/>
    <n v="2879"/>
    <n v="34548"/>
    <n v="2"/>
    <s v="LOW"/>
    <n v="0"/>
    <n v="0"/>
    <n v="8"/>
  </r>
  <r>
    <n v="372"/>
    <s v="Muhamad"/>
    <s v="Aleliwi"/>
    <s v="MuhamadAleliwi"/>
    <s v="Male"/>
    <x v="324"/>
    <x v="3"/>
    <x v="0"/>
    <x v="2"/>
    <x v="2"/>
    <s v="West"/>
    <n v="2252"/>
    <n v="27024"/>
    <n v="3"/>
    <s v="MEDIUM"/>
    <n v="1"/>
    <n v="0"/>
    <n v="50"/>
  </r>
  <r>
    <n v="373"/>
    <s v="Ahmad"/>
    <s v="Almisri"/>
    <s v="AhmadAlmisri"/>
    <s v="Male"/>
    <x v="325"/>
    <x v="0"/>
    <x v="0"/>
    <x v="3"/>
    <x v="2"/>
    <s v="South"/>
    <n v="2149"/>
    <n v="25788"/>
    <n v="3"/>
    <s v="MEDIUM"/>
    <n v="0"/>
    <n v="0"/>
    <n v="1"/>
  </r>
  <r>
    <n v="374"/>
    <s v="Ahmad"/>
    <s v="Aldwltali"/>
    <s v="AhmadAldwltali"/>
    <s v="Male"/>
    <x v="326"/>
    <x v="3"/>
    <x v="0"/>
    <x v="18"/>
    <x v="2"/>
    <s v="Main"/>
    <n v="2428"/>
    <n v="29136"/>
    <n v="5"/>
    <s v="HIGH"/>
    <n v="0"/>
    <n v="0"/>
    <n v="35"/>
  </r>
  <r>
    <n v="375"/>
    <s v="Muhamad"/>
    <s v="Udib"/>
    <s v="MuhamadUdib"/>
    <s v="Male"/>
    <x v="327"/>
    <x v="3"/>
    <x v="0"/>
    <x v="2"/>
    <x v="0"/>
    <s v="Main"/>
    <n v="3240"/>
    <n v="38880"/>
    <n v="5"/>
    <s v="HIGH"/>
    <n v="0"/>
    <n v="0"/>
    <n v="6"/>
  </r>
  <r>
    <n v="376"/>
    <s v="Alaa"/>
    <s v="Yuzbik"/>
    <s v="AlaaYuzbik"/>
    <s v="Female"/>
    <x v="8"/>
    <x v="2"/>
    <x v="1"/>
    <x v="5"/>
    <x v="0"/>
    <s v="East"/>
    <n v="1448"/>
    <n v="17376"/>
    <n v="3"/>
    <s v="MEDIUM"/>
    <n v="4"/>
    <n v="0"/>
    <n v="10"/>
  </r>
  <r>
    <n v="377"/>
    <s v="Husayn"/>
    <s v="Zaerur"/>
    <s v="HusaynZaerur"/>
    <s v="Male"/>
    <x v="307"/>
    <x v="1"/>
    <x v="0"/>
    <x v="2"/>
    <x v="0"/>
    <s v="East"/>
    <n v="2409"/>
    <n v="28908"/>
    <n v="3"/>
    <s v="MEDIUM"/>
    <n v="3"/>
    <n v="3"/>
    <n v="3"/>
  </r>
  <r>
    <n v="378"/>
    <s v="Saeid"/>
    <s v="Mazlum"/>
    <s v="SaeidMazlum"/>
    <s v="Male"/>
    <x v="328"/>
    <x v="3"/>
    <x v="0"/>
    <x v="13"/>
    <x v="2"/>
    <s v="South"/>
    <n v="3030"/>
    <n v="36360"/>
    <n v="2"/>
    <s v="LOW"/>
    <n v="6"/>
    <n v="0"/>
    <n v="5"/>
  </r>
  <r>
    <n v="379"/>
    <s v="Ahmad"/>
    <s v="Alghurani"/>
    <s v="AhmadAlghurani"/>
    <s v="Male"/>
    <x v="329"/>
    <x v="1"/>
    <x v="0"/>
    <x v="2"/>
    <x v="2"/>
    <s v="North"/>
    <n v="2544"/>
    <n v="30528"/>
    <n v="5"/>
    <s v="HIGH"/>
    <n v="0"/>
    <n v="0"/>
    <n v="11"/>
  </r>
  <r>
    <n v="380"/>
    <s v="Abd Alsamad"/>
    <s v="Ahmad"/>
    <s v="Abd AlsamadAhmad"/>
    <s v="Male"/>
    <x v="330"/>
    <x v="5"/>
    <x v="1"/>
    <x v="8"/>
    <x v="0"/>
    <s v="West"/>
    <n v="2872"/>
    <n v="34464"/>
    <n v="4.5"/>
    <s v="HIGH"/>
    <n v="5"/>
    <n v="0"/>
    <n v="7"/>
  </r>
  <r>
    <n v="381"/>
    <s v="Amir"/>
    <s v="Alhasan"/>
    <s v="AmirAlhasan"/>
    <s v="Male"/>
    <x v="331"/>
    <x v="0"/>
    <x v="0"/>
    <x v="3"/>
    <x v="0"/>
    <s v="South"/>
    <n v="2263"/>
    <n v="27156"/>
    <n v="4.5"/>
    <s v="HIGH"/>
    <n v="0"/>
    <n v="0"/>
    <n v="8"/>
  </r>
  <r>
    <n v="382"/>
    <s v="Alaa"/>
    <s v="Altahhan"/>
    <s v="AlaaAltahhan"/>
    <s v="Female"/>
    <x v="332"/>
    <x v="3"/>
    <x v="0"/>
    <x v="0"/>
    <x v="2"/>
    <s v="East"/>
    <n v="2136"/>
    <n v="25632"/>
    <n v="5"/>
    <s v="HIGH"/>
    <n v="4"/>
    <n v="0"/>
    <n v="12"/>
  </r>
  <r>
    <n v="383"/>
    <s v="Iad"/>
    <s v="Mahfud"/>
    <s v="IadMahfud"/>
    <s v="Male"/>
    <x v="333"/>
    <x v="2"/>
    <x v="1"/>
    <x v="2"/>
    <x v="0"/>
    <s v="Main"/>
    <n v="2379"/>
    <n v="28548"/>
    <n v="4.5"/>
    <s v="HIGH"/>
    <n v="1"/>
    <n v="0"/>
    <n v="10"/>
  </r>
  <r>
    <n v="384"/>
    <s v="Sarah"/>
    <s v="Damrani"/>
    <s v="SarahDamrani"/>
    <s v="Female"/>
    <x v="334"/>
    <x v="1"/>
    <x v="0"/>
    <x v="5"/>
    <x v="0"/>
    <s v="North"/>
    <n v="1940"/>
    <n v="23280"/>
    <n v="3"/>
    <s v="MEDIUM"/>
    <n v="4"/>
    <n v="6"/>
    <n v="5"/>
  </r>
  <r>
    <n v="385"/>
    <s v="Husam"/>
    <s v="Aldubus"/>
    <s v="HusamAldubus"/>
    <s v="Male"/>
    <x v="188"/>
    <x v="3"/>
    <x v="0"/>
    <x v="8"/>
    <x v="0"/>
    <s v="Main"/>
    <n v="1558"/>
    <n v="18696"/>
    <n v="2"/>
    <s v="LOW"/>
    <n v="0"/>
    <n v="6"/>
    <n v="9"/>
  </r>
  <r>
    <n v="386"/>
    <s v="Ahmad"/>
    <s v="Zynu"/>
    <s v="AhmadZynu"/>
    <s v="Male"/>
    <x v="335"/>
    <x v="3"/>
    <x v="0"/>
    <x v="7"/>
    <x v="0"/>
    <s v="North"/>
    <n v="1341"/>
    <n v="16092"/>
    <n v="5"/>
    <s v="HIGH"/>
    <n v="3"/>
    <n v="0"/>
    <n v="8"/>
  </r>
  <r>
    <n v="387"/>
    <s v="Lwy"/>
    <s v="Abu"/>
    <s v="LwyAbu"/>
    <s v="Male"/>
    <x v="336"/>
    <x v="3"/>
    <x v="0"/>
    <x v="2"/>
    <x v="0"/>
    <s v="Main"/>
    <n v="1703"/>
    <n v="20436"/>
    <n v="5"/>
    <s v="HIGH"/>
    <n v="2"/>
    <n v="0"/>
    <n v="10"/>
  </r>
  <r>
    <n v="388"/>
    <s v="Tariq"/>
    <s v="Shams"/>
    <s v="TariqShams"/>
    <s v="Male"/>
    <x v="337"/>
    <x v="1"/>
    <x v="0"/>
    <x v="13"/>
    <x v="0"/>
    <s v="North"/>
    <n v="3282"/>
    <n v="39384"/>
    <n v="1"/>
    <s v="LOW"/>
    <n v="0"/>
    <n v="0"/>
    <n v="2"/>
  </r>
  <r>
    <n v="389"/>
    <s v="Muhamad"/>
    <s v="Khalil"/>
    <s v="MuhamadKhalil"/>
    <s v="Male"/>
    <x v="338"/>
    <x v="3"/>
    <x v="0"/>
    <x v="4"/>
    <x v="0"/>
    <s v="West"/>
    <n v="3125"/>
    <n v="37500"/>
    <n v="2"/>
    <s v="LOW"/>
    <n v="6"/>
    <n v="3"/>
    <n v="0"/>
  </r>
  <r>
    <n v="390"/>
    <s v="Amal"/>
    <s v="Alhusayn"/>
    <s v="AmalAlhusayn"/>
    <s v="Female"/>
    <x v="339"/>
    <x v="1"/>
    <x v="0"/>
    <x v="5"/>
    <x v="2"/>
    <s v="West"/>
    <n v="2232"/>
    <n v="26784"/>
    <n v="4.5"/>
    <s v="HIGH"/>
    <n v="0"/>
    <n v="0"/>
    <n v="7"/>
  </r>
  <r>
    <n v="391"/>
    <s v="Fadi"/>
    <s v="Shakur"/>
    <s v="FadiShakur"/>
    <s v="Male"/>
    <x v="340"/>
    <x v="5"/>
    <x v="1"/>
    <x v="12"/>
    <x v="3"/>
    <s v="Main"/>
    <n v="2513"/>
    <n v="30156"/>
    <n v="4.5"/>
    <s v="HIGH"/>
    <n v="2"/>
    <n v="0"/>
    <n v="8"/>
  </r>
  <r>
    <n v="392"/>
    <s v="Abdalhai"/>
    <s v="Sarhan"/>
    <s v="AbdalhaiSarhan"/>
    <s v="Male"/>
    <x v="341"/>
    <x v="5"/>
    <x v="1"/>
    <x v="8"/>
    <x v="3"/>
    <s v="South"/>
    <n v="2818"/>
    <n v="33816"/>
    <n v="2"/>
    <s v="LOW"/>
    <n v="4"/>
    <n v="0"/>
    <n v="8"/>
  </r>
  <r>
    <n v="393"/>
    <s v="Ahmad"/>
    <s v="Alqadi"/>
    <s v="AhmadAlqadi"/>
    <s v="Male"/>
    <x v="342"/>
    <x v="0"/>
    <x v="0"/>
    <x v="12"/>
    <x v="0"/>
    <s v="North"/>
    <n v="2257"/>
    <n v="27084"/>
    <n v="3"/>
    <s v="MEDIUM"/>
    <n v="0"/>
    <n v="0"/>
    <n v="6"/>
  </r>
  <r>
    <n v="394"/>
    <s v="Husam"/>
    <s v="Albush"/>
    <s v="HusamAlbush"/>
    <s v="Male"/>
    <x v="343"/>
    <x v="1"/>
    <x v="0"/>
    <x v="5"/>
    <x v="0"/>
    <s v="Main"/>
    <n v="1265"/>
    <n v="15180"/>
    <n v="3"/>
    <s v="MEDIUM"/>
    <n v="0"/>
    <n v="0"/>
    <n v="5"/>
  </r>
  <r>
    <n v="395"/>
    <s v="Anas"/>
    <s v="Eabidin"/>
    <s v="AnasEabidin"/>
    <s v="Male"/>
    <x v="344"/>
    <x v="1"/>
    <x v="0"/>
    <x v="10"/>
    <x v="2"/>
    <s v="Main"/>
    <n v="2207"/>
    <n v="26484"/>
    <n v="3"/>
    <s v="MEDIUM"/>
    <n v="2"/>
    <n v="0"/>
    <n v="0"/>
  </r>
  <r>
    <n v="396"/>
    <s v="Muhamad"/>
    <s v="Ebdalwahd"/>
    <s v="MuhamadEbdalwahd"/>
    <s v="Male"/>
    <x v="345"/>
    <x v="0"/>
    <x v="0"/>
    <x v="9"/>
    <x v="0"/>
    <s v="North"/>
    <n v="2806"/>
    <n v="33672"/>
    <n v="3"/>
    <s v="MEDIUM"/>
    <n v="0"/>
    <n v="0"/>
    <n v="4"/>
  </r>
  <r>
    <n v="397"/>
    <s v="Khalid"/>
    <s v="Iibrahim"/>
    <s v="KhalidIibrahim"/>
    <s v="Male"/>
    <x v="346"/>
    <x v="5"/>
    <x v="1"/>
    <x v="17"/>
    <x v="2"/>
    <s v="South"/>
    <n v="1521"/>
    <n v="18252"/>
    <n v="5"/>
    <s v="HIGH"/>
    <n v="6"/>
    <n v="0"/>
    <n v="3"/>
  </r>
  <r>
    <n v="398"/>
    <s v="Muhamad"/>
    <s v="Aleazm"/>
    <s v="MuhamadAleazm"/>
    <s v="Male"/>
    <x v="347"/>
    <x v="0"/>
    <x v="0"/>
    <x v="8"/>
    <x v="0"/>
    <s v="South"/>
    <n v="1867"/>
    <n v="22404"/>
    <n v="3"/>
    <s v="MEDIUM"/>
    <n v="0"/>
    <n v="0"/>
    <n v="0"/>
  </r>
  <r>
    <n v="399"/>
    <s v="Maya"/>
    <s v="Alhmwi"/>
    <s v="MayaAlhmwi"/>
    <s v="Female"/>
    <x v="348"/>
    <x v="0"/>
    <x v="0"/>
    <x v="0"/>
    <x v="1"/>
    <s v="North"/>
    <n v="2425"/>
    <n v="29100"/>
    <n v="5"/>
    <s v="HIGH"/>
    <n v="0"/>
    <n v="0"/>
    <n v="10"/>
  </r>
  <r>
    <n v="400"/>
    <s v="Basil"/>
    <s v="Khiat"/>
    <s v="BasilKhiat"/>
    <s v="Male"/>
    <x v="349"/>
    <x v="1"/>
    <x v="0"/>
    <x v="9"/>
    <x v="1"/>
    <s v="Main"/>
    <n v="1758"/>
    <n v="21096"/>
    <n v="5"/>
    <s v="HIGH"/>
    <n v="0"/>
    <n v="0"/>
    <n v="0"/>
  </r>
  <r>
    <n v="401"/>
    <s v="Muhamad"/>
    <s v="Zaydan"/>
    <s v="MuhamadZaydan"/>
    <s v="Male"/>
    <x v="350"/>
    <x v="1"/>
    <x v="0"/>
    <x v="2"/>
    <x v="3"/>
    <s v="East"/>
    <n v="2832"/>
    <n v="33984"/>
    <n v="3"/>
    <s v="MEDIUM"/>
    <n v="0"/>
    <n v="0"/>
    <n v="1"/>
  </r>
  <r>
    <n v="402"/>
    <s v="Randa"/>
    <s v="Alajw"/>
    <s v="RandaAlajw"/>
    <s v="Female"/>
    <x v="265"/>
    <x v="2"/>
    <x v="1"/>
    <x v="9"/>
    <x v="0"/>
    <s v="North"/>
    <n v="1371"/>
    <n v="16452"/>
    <n v="1"/>
    <s v="LOW"/>
    <n v="1"/>
    <n v="0"/>
    <n v="8"/>
  </r>
  <r>
    <n v="403"/>
    <s v="Muhamad"/>
    <s v="Alghazi"/>
    <s v="MuhamadAlghazi"/>
    <s v="Male"/>
    <x v="351"/>
    <x v="0"/>
    <x v="0"/>
    <x v="9"/>
    <x v="0"/>
    <s v="East"/>
    <n v="2904"/>
    <n v="34848"/>
    <n v="5"/>
    <s v="HIGH"/>
    <n v="6"/>
    <n v="0"/>
    <n v="3"/>
  </r>
  <r>
    <n v="404"/>
    <s v="Rahaf"/>
    <s v="Eijluni"/>
    <s v="RahafEijluni"/>
    <s v="Female"/>
    <x v="242"/>
    <x v="0"/>
    <x v="0"/>
    <x v="3"/>
    <x v="4"/>
    <s v="Main"/>
    <n v="3285"/>
    <n v="39420"/>
    <n v="3"/>
    <s v="MEDIUM"/>
    <n v="2"/>
    <n v="0"/>
    <n v="0"/>
  </r>
  <r>
    <n v="405"/>
    <s v="Sultan"/>
    <s v="Alhijar"/>
    <s v="SultanAlhijar"/>
    <s v="Male"/>
    <x v="352"/>
    <x v="0"/>
    <x v="0"/>
    <x v="8"/>
    <x v="0"/>
    <s v="West"/>
    <n v="2964"/>
    <n v="35568"/>
    <n v="5"/>
    <s v="HIGH"/>
    <n v="2"/>
    <n v="0"/>
    <n v="45"/>
  </r>
  <r>
    <n v="406"/>
    <s v="Asma"/>
    <s v="Sadqawi"/>
    <s v="AsmaSadqawi"/>
    <s v="Female"/>
    <x v="353"/>
    <x v="0"/>
    <x v="0"/>
    <x v="5"/>
    <x v="2"/>
    <s v="North"/>
    <n v="974"/>
    <n v="11688"/>
    <n v="2"/>
    <s v="LOW"/>
    <n v="5"/>
    <n v="0"/>
    <n v="5"/>
  </r>
  <r>
    <n v="407"/>
    <s v="Fulla"/>
    <s v="Alkhalid"/>
    <s v="FullaAlkhalid"/>
    <s v="Female"/>
    <x v="354"/>
    <x v="3"/>
    <x v="0"/>
    <x v="5"/>
    <x v="1"/>
    <s v="East"/>
    <n v="2607"/>
    <n v="31284"/>
    <n v="4.5"/>
    <s v="HIGH"/>
    <n v="0"/>
    <n v="0"/>
    <n v="9"/>
  </r>
  <r>
    <n v="408"/>
    <s v="Lujin"/>
    <s v="Alaleppoy"/>
    <s v="LujinAlaleppoy"/>
    <s v="Female"/>
    <x v="355"/>
    <x v="2"/>
    <x v="1"/>
    <x v="0"/>
    <x v="0"/>
    <s v="Main"/>
    <n v="1550"/>
    <n v="18600"/>
    <n v="1"/>
    <s v="LOW"/>
    <n v="0"/>
    <n v="0"/>
    <n v="3"/>
  </r>
  <r>
    <n v="409"/>
    <s v="Jihan"/>
    <s v="Alqudmani"/>
    <s v="JihanAlqudmani"/>
    <s v="Female"/>
    <x v="356"/>
    <x v="5"/>
    <x v="1"/>
    <x v="4"/>
    <x v="0"/>
    <s v="Main"/>
    <n v="1631"/>
    <n v="19572"/>
    <n v="4.5"/>
    <s v="HIGH"/>
    <n v="0"/>
    <n v="0"/>
    <n v="4"/>
  </r>
  <r>
    <n v="410"/>
    <s v="Anwar"/>
    <s v="Alkhayran"/>
    <s v="AnwarAlkhayran"/>
    <s v="Male"/>
    <x v="357"/>
    <x v="0"/>
    <x v="0"/>
    <x v="9"/>
    <x v="0"/>
    <s v="East"/>
    <n v="3003"/>
    <n v="36036"/>
    <n v="1"/>
    <s v="LOW"/>
    <n v="6"/>
    <n v="1"/>
    <n v="6"/>
  </r>
  <r>
    <n v="411"/>
    <s v="Qasim"/>
    <s v="Muhamad"/>
    <s v="QasimMuhamad"/>
    <s v="Male"/>
    <x v="258"/>
    <x v="3"/>
    <x v="0"/>
    <x v="2"/>
    <x v="0"/>
    <s v="West"/>
    <n v="913"/>
    <n v="10956"/>
    <n v="5"/>
    <s v="HIGH"/>
    <n v="0"/>
    <n v="0"/>
    <n v="12"/>
  </r>
  <r>
    <n v="412"/>
    <s v="Samir"/>
    <s v="Altaynawi"/>
    <s v="SamirAltaynawi"/>
    <s v="Male"/>
    <x v="358"/>
    <x v="2"/>
    <x v="1"/>
    <x v="8"/>
    <x v="0"/>
    <s v="South"/>
    <n v="2076"/>
    <n v="24912"/>
    <n v="3"/>
    <s v="MEDIUM"/>
    <n v="0"/>
    <n v="0"/>
    <n v="4"/>
  </r>
  <r>
    <n v="413"/>
    <s v="Alaa"/>
    <s v="Hafiz"/>
    <s v="AlaaHafiz"/>
    <s v="Female"/>
    <x v="359"/>
    <x v="1"/>
    <x v="0"/>
    <x v="8"/>
    <x v="0"/>
    <s v="West"/>
    <n v="2749"/>
    <n v="32988"/>
    <n v="3"/>
    <s v="MEDIUM"/>
    <n v="5"/>
    <n v="4"/>
    <n v="0"/>
  </r>
  <r>
    <n v="414"/>
    <s v="Kamilia"/>
    <s v="Sydu"/>
    <s v="KamiliaSydu"/>
    <s v="Female"/>
    <x v="360"/>
    <x v="0"/>
    <x v="0"/>
    <x v="7"/>
    <x v="1"/>
    <s v="West"/>
    <n v="2617"/>
    <n v="31404"/>
    <n v="4.5"/>
    <s v="HIGH"/>
    <n v="1"/>
    <n v="0"/>
    <n v="5"/>
  </r>
  <r>
    <n v="415"/>
    <s v="Ali"/>
    <s v="Marwan"/>
    <s v="AliMarwan"/>
    <s v="Male"/>
    <x v="361"/>
    <x v="3"/>
    <x v="0"/>
    <x v="7"/>
    <x v="2"/>
    <s v="North"/>
    <n v="1680"/>
    <n v="20160"/>
    <n v="5"/>
    <s v="HIGH"/>
    <n v="1"/>
    <n v="0"/>
    <n v="35"/>
  </r>
  <r>
    <n v="416"/>
    <s v="Mahir"/>
    <s v="Almarstani"/>
    <s v="MahirAlmarstani"/>
    <s v="Male"/>
    <x v="362"/>
    <x v="3"/>
    <x v="0"/>
    <x v="6"/>
    <x v="0"/>
    <s v="Main"/>
    <n v="2824"/>
    <n v="33888"/>
    <n v="3"/>
    <s v="MEDIUM"/>
    <n v="3"/>
    <n v="0"/>
    <n v="3"/>
  </r>
  <r>
    <n v="417"/>
    <s v="Rwad"/>
    <s v="Alddahir"/>
    <s v="RwadAlddahir"/>
    <s v="Female"/>
    <x v="363"/>
    <x v="2"/>
    <x v="1"/>
    <x v="3"/>
    <x v="0"/>
    <s v="West"/>
    <n v="1646"/>
    <n v="19752"/>
    <n v="5"/>
    <s v="HIGH"/>
    <n v="0"/>
    <n v="0"/>
    <n v="7"/>
  </r>
  <r>
    <n v="418"/>
    <s v="Jury"/>
    <s v="Eabuwd"/>
    <s v="JuryEabuwd"/>
    <s v="Female"/>
    <x v="14"/>
    <x v="0"/>
    <x v="0"/>
    <x v="0"/>
    <x v="0"/>
    <s v="South"/>
    <n v="979"/>
    <n v="11748"/>
    <n v="5"/>
    <s v="HIGH"/>
    <n v="5"/>
    <n v="0"/>
    <n v="8"/>
  </r>
  <r>
    <n v="419"/>
    <s v="Sayban"/>
    <s v="Musur"/>
    <s v="SaybanMusur"/>
    <s v="Female"/>
    <x v="364"/>
    <x v="0"/>
    <x v="0"/>
    <x v="12"/>
    <x v="3"/>
    <s v="West"/>
    <n v="1274"/>
    <n v="15288"/>
    <n v="3"/>
    <s v="MEDIUM"/>
    <n v="0"/>
    <n v="0"/>
    <n v="7"/>
  </r>
  <r>
    <n v="420"/>
    <s v="Diana"/>
    <s v="Muayid"/>
    <s v="DianaMuayid"/>
    <s v="Female"/>
    <x v="221"/>
    <x v="3"/>
    <x v="0"/>
    <x v="8"/>
    <x v="0"/>
    <s v="North"/>
    <n v="2715"/>
    <n v="32580"/>
    <n v="2"/>
    <s v="LOW"/>
    <n v="0"/>
    <n v="0"/>
    <n v="3"/>
  </r>
  <r>
    <n v="421"/>
    <s v="Lbyb"/>
    <s v="Fahd"/>
    <s v="LbybFahd"/>
    <s v="Male"/>
    <x v="365"/>
    <x v="3"/>
    <x v="0"/>
    <x v="2"/>
    <x v="3"/>
    <s v="North"/>
    <n v="1158"/>
    <n v="13896"/>
    <n v="5"/>
    <s v="HIGH"/>
    <n v="0"/>
    <n v="0"/>
    <n v="0"/>
  </r>
  <r>
    <n v="422"/>
    <s v="Bashshar"/>
    <s v="Bilul"/>
    <s v="BashsharBilul"/>
    <s v="Male"/>
    <x v="366"/>
    <x v="0"/>
    <x v="0"/>
    <x v="9"/>
    <x v="0"/>
    <s v="East"/>
    <n v="1986"/>
    <n v="23832"/>
    <n v="3"/>
    <s v="MEDIUM"/>
    <n v="1"/>
    <n v="0"/>
    <n v="14"/>
  </r>
  <r>
    <n v="423"/>
    <s v="Ali"/>
    <s v="Alnuwri"/>
    <s v="AliAlnuwri"/>
    <s v="Male"/>
    <x v="177"/>
    <x v="3"/>
    <x v="0"/>
    <x v="2"/>
    <x v="1"/>
    <s v="South"/>
    <n v="3299"/>
    <n v="39588"/>
    <n v="5"/>
    <s v="HIGH"/>
    <n v="1"/>
    <n v="0"/>
    <n v="0"/>
  </r>
  <r>
    <n v="424"/>
    <s v="Salim"/>
    <s v="Aleabd"/>
    <s v="SalimAleabd"/>
    <s v="Male"/>
    <x v="367"/>
    <x v="2"/>
    <x v="1"/>
    <x v="0"/>
    <x v="0"/>
    <s v="Main"/>
    <n v="2405"/>
    <n v="28860"/>
    <n v="5"/>
    <s v="HIGH"/>
    <n v="0"/>
    <n v="0"/>
    <n v="97"/>
  </r>
  <r>
    <n v="425"/>
    <s v="Abd Alruhmin"/>
    <s v="Allaham"/>
    <s v="Abd AlruhminAllaham"/>
    <s v="Male"/>
    <x v="368"/>
    <x v="1"/>
    <x v="0"/>
    <x v="8"/>
    <x v="0"/>
    <s v="North"/>
    <n v="2205"/>
    <n v="26460"/>
    <n v="3"/>
    <s v="MEDIUM"/>
    <n v="0"/>
    <n v="0"/>
    <n v="4"/>
  </r>
  <r>
    <n v="426"/>
    <s v="Muhamad"/>
    <s v="Raft"/>
    <s v="MuhamadRaft"/>
    <s v="Male"/>
    <x v="369"/>
    <x v="5"/>
    <x v="1"/>
    <x v="2"/>
    <x v="0"/>
    <s v="East"/>
    <n v="2651"/>
    <n v="31812"/>
    <n v="3"/>
    <s v="MEDIUM"/>
    <n v="0"/>
    <n v="0"/>
    <n v="6"/>
  </r>
  <r>
    <n v="427"/>
    <s v="Ahmad"/>
    <s v="Shakir"/>
    <s v="AhmadShakir"/>
    <s v="Male"/>
    <x v="370"/>
    <x v="3"/>
    <x v="0"/>
    <x v="5"/>
    <x v="0"/>
    <s v="North"/>
    <n v="1693"/>
    <n v="20316"/>
    <n v="4.5"/>
    <s v="HIGH"/>
    <n v="2"/>
    <n v="5"/>
    <n v="6"/>
  </r>
  <r>
    <n v="428"/>
    <s v="Rasha"/>
    <s v="Asead"/>
    <s v="RashaAsead"/>
    <s v="Female"/>
    <x v="371"/>
    <x v="3"/>
    <x v="0"/>
    <x v="4"/>
    <x v="0"/>
    <s v="Main"/>
    <n v="1690"/>
    <n v="20280"/>
    <n v="1"/>
    <s v="LOW"/>
    <n v="0"/>
    <n v="0"/>
    <n v="6"/>
  </r>
  <r>
    <n v="429"/>
    <s v="Omar"/>
    <s v="Alwurhani"/>
    <s v="OmarAlwurhani"/>
    <s v="Male"/>
    <x v="372"/>
    <x v="0"/>
    <x v="0"/>
    <x v="5"/>
    <x v="0"/>
    <s v="Main"/>
    <n v="766"/>
    <n v="9192"/>
    <n v="3"/>
    <s v="MEDIUM"/>
    <n v="0"/>
    <n v="0"/>
    <n v="5"/>
  </r>
  <r>
    <n v="430"/>
    <s v="Ayham"/>
    <s v="Kharbutli"/>
    <s v="AyhamKharbutli"/>
    <s v="Male"/>
    <x v="373"/>
    <x v="3"/>
    <x v="0"/>
    <x v="16"/>
    <x v="0"/>
    <s v="South"/>
    <n v="2542"/>
    <n v="30504"/>
    <n v="3"/>
    <s v="MEDIUM"/>
    <n v="1"/>
    <n v="0"/>
    <n v="3"/>
  </r>
  <r>
    <n v="431"/>
    <s v="Sahar"/>
    <s v="Jaridiun"/>
    <s v="SaharJaridiun"/>
    <s v="Female"/>
    <x v="374"/>
    <x v="5"/>
    <x v="1"/>
    <x v="13"/>
    <x v="2"/>
    <s v="East"/>
    <n v="1966"/>
    <n v="23592"/>
    <n v="4.5"/>
    <s v="HIGH"/>
    <n v="0"/>
    <n v="0"/>
    <n v="8"/>
  </r>
  <r>
    <n v="432"/>
    <s v="Muhamad"/>
    <s v="Tamur"/>
    <s v="MuhamadTamur"/>
    <s v="Male"/>
    <x v="250"/>
    <x v="3"/>
    <x v="0"/>
    <x v="2"/>
    <x v="0"/>
    <s v="Main"/>
    <n v="2977"/>
    <n v="35724"/>
    <n v="4.5"/>
    <s v="HIGH"/>
    <n v="0"/>
    <n v="0"/>
    <n v="8"/>
  </r>
  <r>
    <n v="433"/>
    <s v="Ayham"/>
    <s v="Alkhlf"/>
    <s v="AyhamAlkhlf"/>
    <s v="Male"/>
    <x v="375"/>
    <x v="2"/>
    <x v="1"/>
    <x v="12"/>
    <x v="2"/>
    <s v="Main"/>
    <n v="1404"/>
    <n v="16848"/>
    <n v="1"/>
    <s v="LOW"/>
    <n v="5"/>
    <n v="0"/>
    <n v="10"/>
  </r>
  <r>
    <n v="434"/>
    <s v="Emar"/>
    <s v="Eisaf"/>
    <s v="EmarEisaf"/>
    <s v="Female"/>
    <x v="272"/>
    <x v="2"/>
    <x v="1"/>
    <x v="0"/>
    <x v="3"/>
    <s v="North"/>
    <n v="1848"/>
    <n v="22176"/>
    <n v="3"/>
    <s v="MEDIUM"/>
    <n v="0"/>
    <n v="0"/>
    <n v="2"/>
  </r>
  <r>
    <n v="435"/>
    <s v="Iin"/>
    <s v="Bitahish"/>
    <s v="IinBitahish"/>
    <s v="Female"/>
    <x v="376"/>
    <x v="1"/>
    <x v="0"/>
    <x v="2"/>
    <x v="0"/>
    <s v="North"/>
    <n v="2069"/>
    <n v="24828"/>
    <n v="3"/>
    <s v="MEDIUM"/>
    <n v="2"/>
    <n v="5"/>
    <n v="6"/>
  </r>
  <r>
    <n v="436"/>
    <s v="Abdalrhim"/>
    <s v="Eimaruh"/>
    <s v="AbdalrhimEimaruh"/>
    <s v="Male"/>
    <x v="377"/>
    <x v="1"/>
    <x v="0"/>
    <x v="12"/>
    <x v="1"/>
    <s v="North"/>
    <n v="1072"/>
    <n v="12864"/>
    <n v="4.5"/>
    <s v="HIGH"/>
    <n v="0"/>
    <n v="0"/>
    <n v="6"/>
  </r>
  <r>
    <n v="437"/>
    <s v="Bashaer"/>
    <s v="Hadalah"/>
    <s v="BashaerHadalah"/>
    <s v="Female"/>
    <x v="378"/>
    <x v="3"/>
    <x v="0"/>
    <x v="3"/>
    <x v="0"/>
    <s v="Main"/>
    <n v="1984"/>
    <n v="23808"/>
    <n v="1"/>
    <s v="LOW"/>
    <n v="1"/>
    <n v="0"/>
    <n v="8"/>
  </r>
  <r>
    <n v="438"/>
    <s v="Sana"/>
    <s v="Maeruf"/>
    <s v="SanaMaeruf"/>
    <s v="Female"/>
    <x v="308"/>
    <x v="1"/>
    <x v="0"/>
    <x v="5"/>
    <x v="0"/>
    <s v="North"/>
    <n v="999"/>
    <n v="11988"/>
    <n v="1"/>
    <s v="LOW"/>
    <n v="5"/>
    <n v="0"/>
    <n v="61"/>
  </r>
  <r>
    <n v="439"/>
    <s v="Amir"/>
    <s v="Alnuwnu"/>
    <s v="AmirAlnuwnu"/>
    <s v="Male"/>
    <x v="379"/>
    <x v="1"/>
    <x v="0"/>
    <x v="0"/>
    <x v="3"/>
    <s v="West"/>
    <n v="2915"/>
    <n v="34980"/>
    <n v="3"/>
    <s v="MEDIUM"/>
    <n v="0"/>
    <n v="0"/>
    <n v="5"/>
  </r>
  <r>
    <n v="440"/>
    <s v="Salim"/>
    <s v="Albarghali"/>
    <s v="SalimAlbarghali"/>
    <s v="Male"/>
    <x v="380"/>
    <x v="3"/>
    <x v="0"/>
    <x v="8"/>
    <x v="0"/>
    <s v="East"/>
    <n v="3158"/>
    <n v="37896"/>
    <n v="4.5"/>
    <s v="HIGH"/>
    <n v="3"/>
    <n v="0"/>
    <n v="7"/>
  </r>
  <r>
    <n v="441"/>
    <s v="Iin"/>
    <s v="Murad"/>
    <s v="IinMurad"/>
    <s v="Female"/>
    <x v="381"/>
    <x v="2"/>
    <x v="1"/>
    <x v="7"/>
    <x v="0"/>
    <s v="North"/>
    <n v="711"/>
    <n v="8532"/>
    <n v="5"/>
    <s v="HIGH"/>
    <n v="0"/>
    <n v="0"/>
    <n v="10"/>
  </r>
  <r>
    <n v="442"/>
    <s v="Baha Aldiyn"/>
    <s v="Marzuq"/>
    <s v="Baha AldiynMarzuq"/>
    <s v="Male"/>
    <x v="353"/>
    <x v="0"/>
    <x v="0"/>
    <x v="0"/>
    <x v="1"/>
    <s v="West"/>
    <n v="899"/>
    <n v="10788"/>
    <n v="5"/>
    <s v="HIGH"/>
    <n v="6"/>
    <n v="0"/>
    <n v="38"/>
  </r>
  <r>
    <n v="443"/>
    <s v="Abd Alruhmin"/>
    <s v="Hamj"/>
    <s v="Abd AlruhminHamj"/>
    <s v="Male"/>
    <x v="382"/>
    <x v="3"/>
    <x v="0"/>
    <x v="5"/>
    <x v="0"/>
    <s v="Main"/>
    <n v="2571"/>
    <n v="30852"/>
    <n v="3"/>
    <s v="MEDIUM"/>
    <n v="1"/>
    <n v="0"/>
    <n v="6"/>
  </r>
  <r>
    <n v="444"/>
    <s v="Ahmad"/>
    <s v="Bradey"/>
    <s v="AhmadBradey"/>
    <s v="Male"/>
    <x v="128"/>
    <x v="0"/>
    <x v="0"/>
    <x v="0"/>
    <x v="0"/>
    <s v="East"/>
    <n v="2437"/>
    <n v="29244"/>
    <n v="5"/>
    <s v="HIGH"/>
    <n v="0"/>
    <n v="4"/>
    <n v="8"/>
  </r>
  <r>
    <n v="445"/>
    <s v="Sabah"/>
    <s v="Qadish"/>
    <s v="SabahQadish"/>
    <s v="Female"/>
    <x v="383"/>
    <x v="0"/>
    <x v="0"/>
    <x v="2"/>
    <x v="0"/>
    <s v="East"/>
    <n v="2453"/>
    <n v="29436"/>
    <n v="5"/>
    <s v="HIGH"/>
    <n v="1"/>
    <n v="0"/>
    <n v="6"/>
  </r>
  <r>
    <n v="446"/>
    <s v="Asra"/>
    <s v="Almisri"/>
    <s v="AsraAlmisri"/>
    <s v="Female"/>
    <x v="384"/>
    <x v="0"/>
    <x v="0"/>
    <x v="2"/>
    <x v="0"/>
    <s v="East"/>
    <n v="1839"/>
    <n v="22068"/>
    <n v="5"/>
    <s v="HIGH"/>
    <n v="1"/>
    <n v="0"/>
    <n v="9"/>
  </r>
  <r>
    <n v="447"/>
    <s v="Faras"/>
    <s v="Kawaara"/>
    <s v="FarasKawaara"/>
    <s v="Male"/>
    <x v="385"/>
    <x v="5"/>
    <x v="1"/>
    <x v="0"/>
    <x v="2"/>
    <s v="West"/>
    <n v="2306"/>
    <n v="27672"/>
    <n v="1"/>
    <s v="LOW"/>
    <n v="6"/>
    <n v="0"/>
    <n v="7"/>
  </r>
  <r>
    <n v="448"/>
    <s v="Muhamad"/>
    <s v="Abunfis"/>
    <s v="MuhamadAbunfis"/>
    <s v="Male"/>
    <x v="386"/>
    <x v="0"/>
    <x v="0"/>
    <x v="3"/>
    <x v="3"/>
    <s v="Main"/>
    <n v="970"/>
    <n v="11640"/>
    <n v="1"/>
    <s v="LOW"/>
    <n v="0"/>
    <n v="0"/>
    <n v="5"/>
  </r>
  <r>
    <n v="449"/>
    <s v="Lawiy"/>
    <s v="Shiah"/>
    <s v="LawiyShiah"/>
    <s v="Male"/>
    <x v="296"/>
    <x v="0"/>
    <x v="0"/>
    <x v="12"/>
    <x v="0"/>
    <s v="North"/>
    <n v="3140"/>
    <n v="37680"/>
    <n v="3"/>
    <s v="MEDIUM"/>
    <n v="6"/>
    <n v="1"/>
    <n v="5"/>
  </r>
  <r>
    <n v="450"/>
    <s v="Rama"/>
    <s v="Alsaghir"/>
    <s v="RamaAlsaghir"/>
    <s v="Female"/>
    <x v="387"/>
    <x v="2"/>
    <x v="1"/>
    <x v="13"/>
    <x v="0"/>
    <s v="Main"/>
    <n v="1176"/>
    <n v="14112"/>
    <n v="5"/>
    <s v="HIGH"/>
    <n v="2"/>
    <n v="0"/>
    <n v="6"/>
  </r>
  <r>
    <n v="451"/>
    <s v="Ahmad"/>
    <s v="Qadimati"/>
    <s v="AhmadQadimati"/>
    <s v="Male"/>
    <x v="133"/>
    <x v="3"/>
    <x v="0"/>
    <x v="8"/>
    <x v="2"/>
    <s v="East"/>
    <n v="2742"/>
    <n v="32904"/>
    <n v="5"/>
    <s v="HIGH"/>
    <n v="0"/>
    <n v="0"/>
    <n v="9"/>
  </r>
  <r>
    <n v="452"/>
    <s v="Qays"/>
    <s v="Dahna"/>
    <s v="QaysDahna"/>
    <s v="Male"/>
    <x v="388"/>
    <x v="2"/>
    <x v="1"/>
    <x v="0"/>
    <x v="0"/>
    <s v="West"/>
    <n v="734"/>
    <n v="8808"/>
    <n v="3"/>
    <s v="MEDIUM"/>
    <n v="0"/>
    <n v="0"/>
    <n v="0"/>
  </r>
  <r>
    <n v="453"/>
    <s v="Raja"/>
    <s v="Eaziza"/>
    <s v="RajaEaziza"/>
    <s v="Male"/>
    <x v="176"/>
    <x v="2"/>
    <x v="1"/>
    <x v="2"/>
    <x v="3"/>
    <s v="Main"/>
    <n v="894"/>
    <n v="10728"/>
    <n v="3"/>
    <s v="MEDIUM"/>
    <n v="6"/>
    <n v="0"/>
    <n v="93"/>
  </r>
  <r>
    <n v="454"/>
    <s v="Emar"/>
    <s v="Nakaash"/>
    <s v="EmarNakaash"/>
    <s v="Female"/>
    <x v="389"/>
    <x v="1"/>
    <x v="0"/>
    <x v="5"/>
    <x v="1"/>
    <s v="East"/>
    <n v="2640"/>
    <n v="31680"/>
    <n v="4.5"/>
    <s v="HIGH"/>
    <n v="1"/>
    <n v="5"/>
    <n v="4"/>
  </r>
  <r>
    <n v="455"/>
    <s v="Ranya"/>
    <s v="Khuluf"/>
    <s v="RanyaKhuluf"/>
    <s v="Female"/>
    <x v="390"/>
    <x v="0"/>
    <x v="0"/>
    <x v="2"/>
    <x v="0"/>
    <s v="North"/>
    <n v="1059"/>
    <n v="12708"/>
    <n v="2"/>
    <s v="LOW"/>
    <n v="0"/>
    <n v="0"/>
    <n v="14"/>
  </r>
  <r>
    <n v="456"/>
    <s v="Kinda"/>
    <s v="Zaki"/>
    <s v="KindaZaki"/>
    <s v="Female"/>
    <x v="391"/>
    <x v="0"/>
    <x v="0"/>
    <x v="3"/>
    <x v="4"/>
    <s v="North"/>
    <n v="3337"/>
    <n v="40044"/>
    <n v="3"/>
    <s v="MEDIUM"/>
    <n v="0"/>
    <n v="2"/>
    <n v="6"/>
  </r>
  <r>
    <n v="457"/>
    <s v="Muhamad"/>
    <s v="Asamh Tubae"/>
    <s v="MuhamadAsamh Tubae"/>
    <s v="Male"/>
    <x v="392"/>
    <x v="1"/>
    <x v="0"/>
    <x v="12"/>
    <x v="0"/>
    <s v="North"/>
    <n v="3154"/>
    <n v="37848"/>
    <n v="3"/>
    <s v="MEDIUM"/>
    <n v="0"/>
    <n v="0"/>
    <n v="6"/>
  </r>
  <r>
    <n v="458"/>
    <s v="Ahmad"/>
    <s v="Daeas"/>
    <s v="AhmadDaeas"/>
    <s v="Male"/>
    <x v="194"/>
    <x v="0"/>
    <x v="0"/>
    <x v="8"/>
    <x v="0"/>
    <s v="Main"/>
    <n v="1618"/>
    <n v="19416"/>
    <n v="3"/>
    <s v="MEDIUM"/>
    <n v="1"/>
    <n v="0"/>
    <n v="1"/>
  </r>
  <r>
    <n v="459"/>
    <s v="Muhamad"/>
    <s v="Shadi Alkhiat"/>
    <s v="MuhamadShadi Alkhiat"/>
    <s v="Male"/>
    <x v="393"/>
    <x v="5"/>
    <x v="1"/>
    <x v="12"/>
    <x v="2"/>
    <s v="Main"/>
    <n v="1248"/>
    <n v="14976"/>
    <n v="5"/>
    <s v="HIGH"/>
    <n v="0"/>
    <n v="6"/>
    <n v="7"/>
  </r>
  <r>
    <n v="460"/>
    <s v="Omaimah"/>
    <s v="Tqi Aldiyn"/>
    <s v="OmaimahTqi Aldiyn"/>
    <s v="Female"/>
    <x v="394"/>
    <x v="2"/>
    <x v="1"/>
    <x v="12"/>
    <x v="0"/>
    <s v="South"/>
    <n v="1523"/>
    <n v="18276"/>
    <n v="3"/>
    <s v="MEDIUM"/>
    <n v="6"/>
    <n v="5"/>
    <n v="4"/>
  </r>
  <r>
    <n v="461"/>
    <s v="Tahani"/>
    <s v="Yasir"/>
    <s v="TahaniYasir"/>
    <s v="Female"/>
    <x v="395"/>
    <x v="0"/>
    <x v="0"/>
    <x v="2"/>
    <x v="0"/>
    <s v="North"/>
    <n v="1275"/>
    <n v="15300"/>
    <n v="4.5"/>
    <s v="HIGH"/>
    <n v="3"/>
    <n v="0"/>
    <n v="9"/>
  </r>
  <r>
    <n v="462"/>
    <s v="Hasan"/>
    <s v="Alfywmi"/>
    <s v="HasanAlfywmi"/>
    <s v="Male"/>
    <x v="396"/>
    <x v="0"/>
    <x v="0"/>
    <x v="5"/>
    <x v="3"/>
    <s v="North"/>
    <n v="1549"/>
    <n v="18588"/>
    <n v="3"/>
    <s v="MEDIUM"/>
    <n v="2"/>
    <n v="0"/>
    <n v="5"/>
  </r>
  <r>
    <n v="463"/>
    <s v="Zahir"/>
    <s v="Zarie"/>
    <s v="ZahirZarie"/>
    <s v="Male"/>
    <x v="108"/>
    <x v="3"/>
    <x v="0"/>
    <x v="13"/>
    <x v="1"/>
    <s v="East"/>
    <n v="1786"/>
    <n v="21432"/>
    <n v="3"/>
    <s v="MEDIUM"/>
    <n v="4"/>
    <n v="4"/>
    <n v="1"/>
  </r>
  <r>
    <n v="464"/>
    <s v="Muhamad"/>
    <s v="Eaqad"/>
    <s v="MuhamadEaqad"/>
    <s v="Male"/>
    <x v="397"/>
    <x v="3"/>
    <x v="0"/>
    <x v="12"/>
    <x v="1"/>
    <s v="Main"/>
    <n v="1908"/>
    <n v="22896"/>
    <n v="1"/>
    <s v="LOW"/>
    <n v="0"/>
    <n v="5"/>
    <n v="7"/>
  </r>
  <r>
    <n v="465"/>
    <s v="Ahmad"/>
    <s v="Hamuwd"/>
    <s v="AhmadHamuwd"/>
    <s v="Male"/>
    <x v="131"/>
    <x v="0"/>
    <x v="0"/>
    <x v="8"/>
    <x v="2"/>
    <s v="North"/>
    <n v="2321"/>
    <n v="27852"/>
    <n v="5"/>
    <s v="HIGH"/>
    <n v="0"/>
    <n v="0"/>
    <n v="6"/>
  </r>
  <r>
    <n v="466"/>
    <s v="Ismaeil"/>
    <s v="Jdwe"/>
    <s v="IsmaeilJdwe"/>
    <s v="Male"/>
    <x v="398"/>
    <x v="1"/>
    <x v="0"/>
    <x v="8"/>
    <x v="2"/>
    <s v="Main"/>
    <n v="899"/>
    <n v="10788"/>
    <n v="1"/>
    <s v="LOW"/>
    <n v="4"/>
    <n v="0"/>
    <n v="27"/>
  </r>
  <r>
    <n v="467"/>
    <s v="Muhamad"/>
    <s v="Saeid Alzarey"/>
    <s v="MuhamadSaeid Alzarey"/>
    <s v="Male"/>
    <x v="260"/>
    <x v="3"/>
    <x v="0"/>
    <x v="13"/>
    <x v="0"/>
    <s v="North"/>
    <n v="1168"/>
    <n v="14016"/>
    <n v="5"/>
    <s v="HIGH"/>
    <n v="0"/>
    <n v="0"/>
    <n v="8"/>
  </r>
  <r>
    <n v="468"/>
    <s v="Bakr"/>
    <s v="Eubdallah"/>
    <s v="BakrEubdallah"/>
    <s v="Male"/>
    <x v="0"/>
    <x v="0"/>
    <x v="0"/>
    <x v="14"/>
    <x v="0"/>
    <s v="Main"/>
    <n v="2169"/>
    <n v="26028"/>
    <n v="1"/>
    <s v="LOW"/>
    <n v="4"/>
    <n v="0"/>
    <n v="2"/>
  </r>
  <r>
    <n v="469"/>
    <s v="Muhamad"/>
    <s v="Basil"/>
    <s v="MuhamadBasil"/>
    <s v="Male"/>
    <x v="382"/>
    <x v="3"/>
    <x v="0"/>
    <x v="18"/>
    <x v="4"/>
    <s v="Main"/>
    <n v="2819"/>
    <n v="33828"/>
    <n v="4.5"/>
    <s v="HIGH"/>
    <n v="5"/>
    <n v="0"/>
    <n v="51"/>
  </r>
  <r>
    <n v="470"/>
    <s v="Ahmad"/>
    <s v="Alnajar"/>
    <s v="AhmadAlnajar"/>
    <s v="Male"/>
    <x v="50"/>
    <x v="0"/>
    <x v="0"/>
    <x v="7"/>
    <x v="2"/>
    <s v="North"/>
    <n v="847"/>
    <n v="10164"/>
    <n v="3"/>
    <s v="MEDIUM"/>
    <n v="0"/>
    <n v="0"/>
    <n v="3"/>
  </r>
  <r>
    <n v="471"/>
    <s v="Muhamad"/>
    <s v="Alsaman"/>
    <s v="MuhamadAlsaman"/>
    <s v="Male"/>
    <x v="382"/>
    <x v="3"/>
    <x v="0"/>
    <x v="5"/>
    <x v="0"/>
    <s v="West"/>
    <n v="2308"/>
    <n v="27696"/>
    <n v="2"/>
    <s v="LOW"/>
    <n v="0"/>
    <n v="0"/>
    <n v="13"/>
  </r>
  <r>
    <n v="472"/>
    <s v="Lina"/>
    <s v="Wayly"/>
    <s v="LinaWayly"/>
    <s v="Female"/>
    <x v="399"/>
    <x v="0"/>
    <x v="0"/>
    <x v="2"/>
    <x v="0"/>
    <s v="East"/>
    <n v="1692"/>
    <n v="20304"/>
    <n v="4.5"/>
    <s v="HIGH"/>
    <n v="4"/>
    <n v="0"/>
    <n v="6"/>
  </r>
  <r>
    <n v="473"/>
    <s v="Raghid"/>
    <s v="Hutayniun"/>
    <s v="RaghidHutayniun"/>
    <s v="Male"/>
    <x v="400"/>
    <x v="2"/>
    <x v="1"/>
    <x v="12"/>
    <x v="0"/>
    <s v="Main"/>
    <n v="1372"/>
    <n v="16464"/>
    <n v="1"/>
    <s v="LOW"/>
    <n v="0"/>
    <n v="0"/>
    <n v="4"/>
  </r>
  <r>
    <n v="474"/>
    <s v="Ruba"/>
    <s v="Alsiraj"/>
    <s v="RubaAlsiraj"/>
    <s v="Female"/>
    <x v="401"/>
    <x v="3"/>
    <x v="0"/>
    <x v="5"/>
    <x v="0"/>
    <s v="East"/>
    <n v="2594"/>
    <n v="31128"/>
    <n v="3"/>
    <s v="MEDIUM"/>
    <n v="5"/>
    <n v="0"/>
    <n v="0"/>
  </r>
  <r>
    <n v="475"/>
    <s v="Adnan"/>
    <s v="Allaadhiqanii"/>
    <s v="AdnanAllaadhiqanii"/>
    <s v="Male"/>
    <x v="189"/>
    <x v="0"/>
    <x v="0"/>
    <x v="0"/>
    <x v="0"/>
    <s v="North"/>
    <n v="1082"/>
    <n v="12984"/>
    <n v="5"/>
    <s v="HIGH"/>
    <n v="1"/>
    <n v="4"/>
    <n v="8"/>
  </r>
  <r>
    <n v="476"/>
    <s v="Muhamad"/>
    <s v="Shaeban"/>
    <s v="MuhamadShaeban"/>
    <s v="Male"/>
    <x v="325"/>
    <x v="0"/>
    <x v="0"/>
    <x v="2"/>
    <x v="0"/>
    <s v="West"/>
    <n v="1929"/>
    <n v="23148"/>
    <n v="5"/>
    <s v="HIGH"/>
    <n v="3"/>
    <n v="0"/>
    <n v="43"/>
  </r>
  <r>
    <n v="477"/>
    <s v="Ghyath"/>
    <s v="Abu"/>
    <s v="GhyathAbu"/>
    <s v="Male"/>
    <x v="402"/>
    <x v="3"/>
    <x v="0"/>
    <x v="2"/>
    <x v="1"/>
    <s v="Main"/>
    <n v="1883"/>
    <n v="22596"/>
    <n v="3"/>
    <s v="MEDIUM"/>
    <n v="3"/>
    <n v="0"/>
    <n v="3"/>
  </r>
  <r>
    <n v="478"/>
    <s v="Basil"/>
    <s v="Farahat"/>
    <s v="BasilFarahat"/>
    <s v="Male"/>
    <x v="403"/>
    <x v="3"/>
    <x v="0"/>
    <x v="5"/>
    <x v="2"/>
    <s v="West"/>
    <n v="874"/>
    <n v="10488"/>
    <n v="3"/>
    <s v="MEDIUM"/>
    <n v="0"/>
    <n v="0"/>
    <n v="7"/>
  </r>
  <r>
    <n v="479"/>
    <s v="Khalid"/>
    <s v="Siriul"/>
    <s v="KhalidSiriul"/>
    <s v="Male"/>
    <x v="404"/>
    <x v="5"/>
    <x v="1"/>
    <x v="0"/>
    <x v="1"/>
    <s v="West"/>
    <n v="2780"/>
    <n v="33360"/>
    <n v="3"/>
    <s v="MEDIUM"/>
    <n v="3"/>
    <n v="0"/>
    <n v="2"/>
  </r>
  <r>
    <n v="480"/>
    <s v="Salah Aldiyn"/>
    <s v="Salayk"/>
    <s v="Salah AldiynSalayk"/>
    <s v="Male"/>
    <x v="405"/>
    <x v="3"/>
    <x v="0"/>
    <x v="7"/>
    <x v="3"/>
    <s v="South"/>
    <n v="1980"/>
    <n v="23760"/>
    <n v="2"/>
    <s v="LOW"/>
    <n v="3"/>
    <n v="0"/>
    <n v="0"/>
  </r>
  <r>
    <n v="481"/>
    <s v="Bilal"/>
    <s v="Einziin"/>
    <s v="BilalEinziin"/>
    <s v="Male"/>
    <x v="405"/>
    <x v="3"/>
    <x v="0"/>
    <x v="1"/>
    <x v="3"/>
    <s v="Main"/>
    <n v="2611"/>
    <n v="31332"/>
    <n v="5"/>
    <s v="HIGH"/>
    <n v="4"/>
    <n v="0"/>
    <n v="9"/>
  </r>
  <r>
    <n v="482"/>
    <s v="Abdalrhmin"/>
    <s v="Aljuju"/>
    <s v="AbdalrhminAljuju"/>
    <s v="Male"/>
    <x v="7"/>
    <x v="2"/>
    <x v="1"/>
    <x v="18"/>
    <x v="3"/>
    <s v="East"/>
    <n v="1881"/>
    <n v="22572"/>
    <n v="5"/>
    <s v="HIGH"/>
    <n v="1"/>
    <n v="0"/>
    <n v="1"/>
  </r>
  <r>
    <n v="483"/>
    <s v="Lawy"/>
    <s v="Nadaf"/>
    <s v="LawyNadaf"/>
    <s v="Male"/>
    <x v="406"/>
    <x v="5"/>
    <x v="1"/>
    <x v="2"/>
    <x v="0"/>
    <s v="West"/>
    <n v="1517"/>
    <n v="18204"/>
    <n v="5"/>
    <s v="HIGH"/>
    <n v="4"/>
    <n v="0"/>
    <n v="6"/>
  </r>
  <r>
    <n v="484"/>
    <s v="Ali"/>
    <s v="Muhamad"/>
    <s v="AliMuhamad"/>
    <s v="Male"/>
    <x v="407"/>
    <x v="3"/>
    <x v="0"/>
    <x v="3"/>
    <x v="0"/>
    <s v="West"/>
    <n v="1459"/>
    <n v="17508"/>
    <n v="4.5"/>
    <s v="HIGH"/>
    <n v="0"/>
    <n v="0"/>
    <n v="10"/>
  </r>
  <r>
    <n v="485"/>
    <s v="Mahir"/>
    <s v="Bikar"/>
    <s v="MahirBikar"/>
    <s v="Male"/>
    <x v="408"/>
    <x v="3"/>
    <x v="0"/>
    <x v="13"/>
    <x v="1"/>
    <s v="Main"/>
    <n v="2383"/>
    <n v="28596"/>
    <n v="3"/>
    <s v="MEDIUM"/>
    <n v="0"/>
    <n v="0"/>
    <n v="0"/>
  </r>
  <r>
    <n v="486"/>
    <s v="Iad"/>
    <s v="Alhusayn"/>
    <s v="IadAlhusayn"/>
    <s v="Male"/>
    <x v="409"/>
    <x v="2"/>
    <x v="1"/>
    <x v="12"/>
    <x v="0"/>
    <s v="South"/>
    <n v="1420"/>
    <n v="17040"/>
    <n v="5"/>
    <s v="HIGH"/>
    <n v="2"/>
    <n v="6"/>
    <n v="7"/>
  </r>
  <r>
    <n v="487"/>
    <s v="Husam"/>
    <s v="Ziada"/>
    <s v="HusamZiada"/>
    <s v="Male"/>
    <x v="410"/>
    <x v="0"/>
    <x v="0"/>
    <x v="1"/>
    <x v="0"/>
    <s v="North"/>
    <n v="1382"/>
    <n v="16584"/>
    <n v="4.5"/>
    <s v="HIGH"/>
    <n v="0"/>
    <n v="1"/>
    <n v="14"/>
  </r>
  <r>
    <n v="488"/>
    <s v="Ahmad"/>
    <s v="Eashur"/>
    <s v="AhmadEashur"/>
    <s v="Male"/>
    <x v="411"/>
    <x v="1"/>
    <x v="0"/>
    <x v="7"/>
    <x v="2"/>
    <s v="West"/>
    <n v="1920"/>
    <n v="23040"/>
    <n v="5"/>
    <s v="HIGH"/>
    <n v="0"/>
    <n v="5"/>
    <n v="1"/>
  </r>
  <r>
    <n v="489"/>
    <s v="Ahmad"/>
    <s v="Naqawuh"/>
    <s v="AhmadNaqawuh"/>
    <s v="Male"/>
    <x v="412"/>
    <x v="1"/>
    <x v="0"/>
    <x v="12"/>
    <x v="0"/>
    <s v="North"/>
    <n v="1202"/>
    <n v="14424"/>
    <n v="4.5"/>
    <s v="HIGH"/>
    <n v="0"/>
    <n v="0"/>
    <n v="92"/>
  </r>
  <r>
    <n v="490"/>
    <s v="Tamadur"/>
    <s v="Barghuth"/>
    <s v="TamadurBarghuth"/>
    <s v="Female"/>
    <x v="413"/>
    <x v="2"/>
    <x v="1"/>
    <x v="9"/>
    <x v="1"/>
    <s v="West"/>
    <n v="1158"/>
    <n v="13896"/>
    <n v="5"/>
    <s v="HIGH"/>
    <n v="0"/>
    <n v="0"/>
    <n v="7"/>
  </r>
  <r>
    <n v="491"/>
    <s v="Diea"/>
    <s v="Jazar"/>
    <s v="DieaJazar"/>
    <s v="Male"/>
    <x v="137"/>
    <x v="3"/>
    <x v="0"/>
    <x v="0"/>
    <x v="0"/>
    <s v="North"/>
    <n v="1447"/>
    <n v="17364"/>
    <n v="3"/>
    <s v="MEDIUM"/>
    <n v="0"/>
    <n v="0"/>
    <n v="7"/>
  </r>
  <r>
    <n v="492"/>
    <s v="Bashshar"/>
    <s v="Mareiun"/>
    <s v="BashsharMareiun"/>
    <s v="Male"/>
    <x v="35"/>
    <x v="3"/>
    <x v="0"/>
    <x v="4"/>
    <x v="1"/>
    <s v="East"/>
    <n v="1598"/>
    <n v="19176"/>
    <n v="3"/>
    <s v="MEDIUM"/>
    <n v="0"/>
    <n v="0"/>
    <n v="95"/>
  </r>
  <r>
    <n v="493"/>
    <s v="Abdaleziz"/>
    <s v="Eiwad"/>
    <s v="AbdalezizEiwad"/>
    <s v="Male"/>
    <x v="414"/>
    <x v="1"/>
    <x v="0"/>
    <x v="12"/>
    <x v="2"/>
    <s v="East"/>
    <n v="1714"/>
    <n v="20568"/>
    <n v="5"/>
    <s v="HIGH"/>
    <n v="6"/>
    <n v="0"/>
    <n v="11"/>
  </r>
  <r>
    <n v="494"/>
    <s v="Amir"/>
    <s v="Alkhawam"/>
    <s v="AmirAlkhawam"/>
    <s v="Male"/>
    <x v="415"/>
    <x v="2"/>
    <x v="1"/>
    <x v="14"/>
    <x v="2"/>
    <s v="West"/>
    <n v="2994"/>
    <n v="35928"/>
    <n v="4.5"/>
    <s v="HIGH"/>
    <n v="1"/>
    <n v="0"/>
    <n v="4"/>
  </r>
  <r>
    <n v="495"/>
    <s v="Alia"/>
    <s v="Maseud"/>
    <s v="AliaMaseud"/>
    <s v="Male"/>
    <x v="416"/>
    <x v="3"/>
    <x v="0"/>
    <x v="2"/>
    <x v="1"/>
    <s v="East"/>
    <n v="2125"/>
    <n v="25500"/>
    <n v="4.5"/>
    <s v="HIGH"/>
    <n v="6"/>
    <n v="0"/>
    <n v="6"/>
  </r>
  <r>
    <n v="496"/>
    <s v="Asra"/>
    <s v="Abuhani"/>
    <s v="AsraAbuhani"/>
    <s v="Female"/>
    <x v="417"/>
    <x v="0"/>
    <x v="0"/>
    <x v="12"/>
    <x v="0"/>
    <s v="Main"/>
    <n v="3059"/>
    <n v="36708"/>
    <n v="4.5"/>
    <s v="HIGH"/>
    <n v="5"/>
    <n v="0"/>
    <n v="9"/>
  </r>
  <r>
    <n v="497"/>
    <s v="Ahmad"/>
    <s v="Alshamy"/>
    <s v="AhmadAlshamy"/>
    <s v="Male"/>
    <x v="418"/>
    <x v="0"/>
    <x v="0"/>
    <x v="5"/>
    <x v="2"/>
    <s v="Main"/>
    <n v="2077"/>
    <n v="24924"/>
    <n v="5"/>
    <s v="HIGH"/>
    <n v="6"/>
    <n v="0"/>
    <n v="4"/>
  </r>
  <r>
    <n v="498"/>
    <s v="Baha"/>
    <s v="Eusqul"/>
    <s v="BahaEusqul"/>
    <s v="Male"/>
    <x v="171"/>
    <x v="0"/>
    <x v="0"/>
    <x v="2"/>
    <x v="0"/>
    <s v="West"/>
    <n v="1962"/>
    <n v="23544"/>
    <n v="4.5"/>
    <s v="HIGH"/>
    <n v="6"/>
    <n v="0"/>
    <n v="10"/>
  </r>
  <r>
    <n v="499"/>
    <s v="Muhamad"/>
    <s v="Hylmyh"/>
    <s v="MuhamadHylmyh"/>
    <s v="Male"/>
    <x v="419"/>
    <x v="3"/>
    <x v="0"/>
    <x v="7"/>
    <x v="0"/>
    <s v="North"/>
    <n v="1573"/>
    <n v="18876"/>
    <n v="3"/>
    <s v="MEDIUM"/>
    <n v="6"/>
    <n v="0"/>
    <n v="2"/>
  </r>
  <r>
    <n v="500"/>
    <s v="Khadijah"/>
    <s v="Turkamani"/>
    <s v="KhadijahTurkamani"/>
    <s v="Female"/>
    <x v="420"/>
    <x v="3"/>
    <x v="0"/>
    <x v="5"/>
    <x v="1"/>
    <s v="North"/>
    <n v="882"/>
    <n v="10584"/>
    <n v="5"/>
    <s v="HIGH"/>
    <n v="0"/>
    <n v="0"/>
    <n v="8"/>
  </r>
  <r>
    <n v="501"/>
    <s v="Asra"/>
    <s v="Jameah"/>
    <s v="AsraJameah"/>
    <s v="Female"/>
    <x v="168"/>
    <x v="0"/>
    <x v="0"/>
    <x v="2"/>
    <x v="0"/>
    <s v="West"/>
    <n v="1036"/>
    <n v="12432"/>
    <n v="5"/>
    <s v="HIGH"/>
    <n v="0"/>
    <n v="6"/>
    <n v="2"/>
  </r>
  <r>
    <n v="502"/>
    <s v="Akram"/>
    <s v="Alhulwanii"/>
    <s v="AkramAlhulwanii"/>
    <s v="Male"/>
    <x v="421"/>
    <x v="4"/>
    <x v="1"/>
    <x v="7"/>
    <x v="0"/>
    <s v="East"/>
    <n v="2790"/>
    <n v="33480"/>
    <n v="1"/>
    <s v="LOW"/>
    <n v="1"/>
    <n v="0"/>
    <n v="8"/>
  </r>
  <r>
    <n v="503"/>
    <s v="Samir"/>
    <s v="Almisri"/>
    <s v="SamirAlmisri"/>
    <s v="Male"/>
    <x v="422"/>
    <x v="3"/>
    <x v="0"/>
    <x v="2"/>
    <x v="0"/>
    <s v="Main"/>
    <n v="1951"/>
    <n v="23412"/>
    <n v="4.5"/>
    <s v="HIGH"/>
    <n v="1"/>
    <n v="0"/>
    <n v="8"/>
  </r>
  <r>
    <n v="504"/>
    <s v="Ahmad"/>
    <s v="Iidris"/>
    <s v="AhmadIidris"/>
    <s v="Male"/>
    <x v="423"/>
    <x v="0"/>
    <x v="0"/>
    <x v="0"/>
    <x v="0"/>
    <s v="Main"/>
    <n v="2255"/>
    <n v="27060"/>
    <n v="5"/>
    <s v="HIGH"/>
    <n v="0"/>
    <n v="4"/>
    <n v="10"/>
  </r>
  <r>
    <n v="505"/>
    <s v="Khawla"/>
    <s v="Dawi"/>
    <s v="KhawlaDawi"/>
    <s v="Female"/>
    <x v="424"/>
    <x v="2"/>
    <x v="1"/>
    <x v="15"/>
    <x v="0"/>
    <s v="East"/>
    <n v="3388"/>
    <n v="40656"/>
    <n v="3"/>
    <s v="MEDIUM"/>
    <n v="3"/>
    <n v="0"/>
    <n v="0"/>
  </r>
  <r>
    <n v="506"/>
    <s v="Rayid"/>
    <s v="Zazana"/>
    <s v="RayidZazana"/>
    <s v="Male"/>
    <x v="297"/>
    <x v="1"/>
    <x v="0"/>
    <x v="9"/>
    <x v="0"/>
    <s v="West"/>
    <n v="707"/>
    <n v="8484"/>
    <n v="2"/>
    <s v="LOW"/>
    <n v="1"/>
    <n v="0"/>
    <n v="9"/>
  </r>
  <r>
    <n v="507"/>
    <s v="Razan"/>
    <s v="Iybw"/>
    <s v="RazanIybw"/>
    <s v="Female"/>
    <x v="425"/>
    <x v="1"/>
    <x v="0"/>
    <x v="14"/>
    <x v="0"/>
    <s v="Main"/>
    <n v="1161"/>
    <n v="13932"/>
    <n v="5"/>
    <s v="HIGH"/>
    <n v="0"/>
    <n v="0"/>
    <n v="9"/>
  </r>
  <r>
    <n v="508"/>
    <s v="Jamil"/>
    <s v="Ghabur"/>
    <s v="JamilGhabur"/>
    <s v="Male"/>
    <x v="46"/>
    <x v="3"/>
    <x v="0"/>
    <x v="0"/>
    <x v="2"/>
    <s v="Main"/>
    <n v="1165"/>
    <n v="13980"/>
    <n v="5"/>
    <s v="HIGH"/>
    <n v="0"/>
    <n v="0"/>
    <n v="9"/>
  </r>
  <r>
    <n v="509"/>
    <s v="Alaa"/>
    <s v="Sultan"/>
    <s v="AlaaSultan"/>
    <s v="Female"/>
    <x v="383"/>
    <x v="0"/>
    <x v="0"/>
    <x v="7"/>
    <x v="2"/>
    <s v="Main"/>
    <n v="1351"/>
    <n v="16212"/>
    <n v="5"/>
    <s v="HIGH"/>
    <n v="0"/>
    <n v="0"/>
    <n v="7"/>
  </r>
  <r>
    <n v="510"/>
    <s v="Sultan"/>
    <s v="Taysir"/>
    <s v="SultanTaysir"/>
    <s v="Male"/>
    <x v="426"/>
    <x v="5"/>
    <x v="1"/>
    <x v="3"/>
    <x v="0"/>
    <s v="East"/>
    <n v="1406"/>
    <n v="16872"/>
    <n v="3"/>
    <s v="MEDIUM"/>
    <n v="0"/>
    <n v="3"/>
    <n v="7"/>
  </r>
  <r>
    <n v="511"/>
    <s v="Hanan"/>
    <s v="Kurdiun"/>
    <s v="HananKurdiun"/>
    <s v="Female"/>
    <x v="21"/>
    <x v="0"/>
    <x v="0"/>
    <x v="5"/>
    <x v="1"/>
    <s v="Main"/>
    <n v="1699"/>
    <n v="20388"/>
    <n v="5"/>
    <s v="HIGH"/>
    <n v="0"/>
    <n v="2"/>
    <n v="5"/>
  </r>
  <r>
    <n v="512"/>
    <s v="Basil"/>
    <s v="Salih"/>
    <s v="BasilSalih"/>
    <s v="Male"/>
    <x v="375"/>
    <x v="2"/>
    <x v="1"/>
    <x v="8"/>
    <x v="0"/>
    <s v="North"/>
    <n v="3007"/>
    <n v="36084"/>
    <n v="5"/>
    <s v="HIGH"/>
    <n v="0"/>
    <n v="6"/>
    <n v="11"/>
  </r>
  <r>
    <n v="513"/>
    <s v="Rita"/>
    <s v="Dib"/>
    <s v="RitaDib"/>
    <s v="Female"/>
    <x v="359"/>
    <x v="1"/>
    <x v="0"/>
    <x v="3"/>
    <x v="0"/>
    <s v="Main"/>
    <n v="879"/>
    <n v="10548"/>
    <n v="3"/>
    <s v="MEDIUM"/>
    <n v="0"/>
    <n v="0"/>
    <n v="1"/>
  </r>
  <r>
    <n v="514"/>
    <s v="Muhamad"/>
    <s v="Alghush"/>
    <s v="MuhamadAlghush"/>
    <s v="Male"/>
    <x v="427"/>
    <x v="3"/>
    <x v="0"/>
    <x v="12"/>
    <x v="4"/>
    <s v="North"/>
    <n v="2537"/>
    <n v="30444"/>
    <n v="2"/>
    <s v="LOW"/>
    <n v="0"/>
    <n v="0"/>
    <n v="3"/>
  </r>
  <r>
    <n v="515"/>
    <s v="Muhamad"/>
    <s v="Iismaeil"/>
    <s v="MuhamadIismaeil"/>
    <s v="Male"/>
    <x v="428"/>
    <x v="1"/>
    <x v="0"/>
    <x v="5"/>
    <x v="0"/>
    <s v="North"/>
    <n v="2663"/>
    <n v="31956"/>
    <n v="3"/>
    <s v="MEDIUM"/>
    <n v="0"/>
    <n v="0"/>
    <n v="2"/>
  </r>
  <r>
    <n v="516"/>
    <s v="Khaldun"/>
    <s v="Alsaedi"/>
    <s v="KhaldunAlsaedi"/>
    <s v="Male"/>
    <x v="243"/>
    <x v="1"/>
    <x v="0"/>
    <x v="0"/>
    <x v="0"/>
    <s v="Main"/>
    <n v="2494"/>
    <n v="29928"/>
    <n v="4.5"/>
    <s v="HIGH"/>
    <n v="2"/>
    <n v="0"/>
    <n v="2"/>
  </r>
  <r>
    <n v="517"/>
    <s v="Ghaliah"/>
    <s v="Eibad"/>
    <s v="GhaliahEibad"/>
    <s v="Female"/>
    <x v="181"/>
    <x v="3"/>
    <x v="0"/>
    <x v="17"/>
    <x v="2"/>
    <s v="North"/>
    <n v="2585"/>
    <n v="31020"/>
    <n v="5"/>
    <s v="HIGH"/>
    <n v="1"/>
    <n v="5"/>
    <n v="7"/>
  </r>
  <r>
    <n v="518"/>
    <s v="Muhamad"/>
    <s v="Alsaedi"/>
    <s v="MuhamadAlsaedi"/>
    <s v="Male"/>
    <x v="429"/>
    <x v="3"/>
    <x v="0"/>
    <x v="6"/>
    <x v="2"/>
    <s v="Main"/>
    <n v="1776"/>
    <n v="21312"/>
    <n v="2"/>
    <s v="LOW"/>
    <n v="0"/>
    <n v="0"/>
    <n v="0"/>
  </r>
  <r>
    <n v="519"/>
    <s v="Eala"/>
    <s v="Zaniqa"/>
    <s v="EalaZaniqa"/>
    <s v="Female"/>
    <x v="430"/>
    <x v="2"/>
    <x v="1"/>
    <x v="8"/>
    <x v="0"/>
    <s v="North"/>
    <n v="3055"/>
    <n v="36660"/>
    <n v="3"/>
    <s v="MEDIUM"/>
    <n v="0"/>
    <n v="4"/>
    <n v="9"/>
  </r>
  <r>
    <n v="520"/>
    <s v="Ayham"/>
    <s v="Sharfah"/>
    <s v="AyhamSharfah"/>
    <s v="Male"/>
    <x v="431"/>
    <x v="2"/>
    <x v="1"/>
    <x v="2"/>
    <x v="1"/>
    <s v="Main"/>
    <n v="1707"/>
    <n v="20484"/>
    <n v="3"/>
    <s v="MEDIUM"/>
    <n v="0"/>
    <n v="0"/>
    <n v="4"/>
  </r>
  <r>
    <n v="521"/>
    <s v="Ahmad"/>
    <s v="Kazeur"/>
    <s v="AhmadKazeur"/>
    <s v="Male"/>
    <x v="432"/>
    <x v="3"/>
    <x v="0"/>
    <x v="8"/>
    <x v="2"/>
    <s v="Main"/>
    <n v="2719"/>
    <n v="32628"/>
    <n v="3"/>
    <s v="MEDIUM"/>
    <n v="0"/>
    <n v="0"/>
    <n v="7"/>
  </r>
  <r>
    <n v="522"/>
    <s v="Mujdi"/>
    <s v="Kiwan"/>
    <s v="MujdiKiwan"/>
    <s v="Male"/>
    <x v="173"/>
    <x v="1"/>
    <x v="0"/>
    <x v="9"/>
    <x v="0"/>
    <s v="South"/>
    <n v="1715"/>
    <n v="20580"/>
    <n v="3"/>
    <s v="MEDIUM"/>
    <n v="0"/>
    <n v="0"/>
    <n v="10"/>
  </r>
  <r>
    <n v="523"/>
    <s v="Muhamad"/>
    <s v="Altynawi"/>
    <s v="MuhamadAltynawi"/>
    <s v="Male"/>
    <x v="101"/>
    <x v="0"/>
    <x v="0"/>
    <x v="2"/>
    <x v="0"/>
    <s v="West"/>
    <n v="2181"/>
    <n v="26172"/>
    <n v="2"/>
    <s v="LOW"/>
    <n v="0"/>
    <n v="0"/>
    <n v="1"/>
  </r>
  <r>
    <n v="524"/>
    <s v="Lama"/>
    <s v="Alhasan"/>
    <s v="LamaAlhasan"/>
    <s v="Female"/>
    <x v="433"/>
    <x v="2"/>
    <x v="1"/>
    <x v="2"/>
    <x v="2"/>
    <s v="North"/>
    <n v="1382"/>
    <n v="16584"/>
    <n v="5"/>
    <s v="HIGH"/>
    <n v="0"/>
    <n v="4"/>
    <n v="8"/>
  </r>
  <r>
    <n v="525"/>
    <s v="Lama"/>
    <s v="Almisri"/>
    <s v="LamaAlmisri"/>
    <s v="Female"/>
    <x v="48"/>
    <x v="1"/>
    <x v="0"/>
    <x v="2"/>
    <x v="0"/>
    <s v="North"/>
    <n v="3350"/>
    <n v="40200"/>
    <n v="2"/>
    <s v="LOW"/>
    <n v="0"/>
    <n v="0"/>
    <n v="8"/>
  </r>
  <r>
    <n v="526"/>
    <s v="Thayir"/>
    <s v="Hamuwda"/>
    <s v="ThayirHamuwda"/>
    <s v="Male"/>
    <x v="434"/>
    <x v="1"/>
    <x v="0"/>
    <x v="8"/>
    <x v="2"/>
    <s v="East"/>
    <n v="1710"/>
    <n v="20520"/>
    <n v="5"/>
    <s v="HIGH"/>
    <n v="0"/>
    <n v="0"/>
    <n v="9"/>
  </r>
  <r>
    <n v="527"/>
    <s v="Abdallah"/>
    <s v="Zakariaa"/>
    <s v="AbdallahZakariaa"/>
    <s v="Male"/>
    <x v="435"/>
    <x v="3"/>
    <x v="0"/>
    <x v="2"/>
    <x v="2"/>
    <s v="Main"/>
    <n v="2785"/>
    <n v="33420"/>
    <n v="1"/>
    <s v="LOW"/>
    <n v="0"/>
    <n v="4"/>
    <n v="3"/>
  </r>
  <r>
    <n v="528"/>
    <s v="Ikhlas"/>
    <s v="Alhasan"/>
    <s v="IkhlasAlhasan"/>
    <s v="Female"/>
    <x v="320"/>
    <x v="3"/>
    <x v="0"/>
    <x v="18"/>
    <x v="2"/>
    <s v="Main"/>
    <n v="2425"/>
    <n v="29100"/>
    <n v="4.5"/>
    <s v="HIGH"/>
    <n v="0"/>
    <n v="0"/>
    <n v="10"/>
  </r>
  <r>
    <n v="529"/>
    <s v="Muhamad"/>
    <s v="Jzayrly"/>
    <s v="MuhamadJzayrly"/>
    <s v="Male"/>
    <x v="121"/>
    <x v="0"/>
    <x v="0"/>
    <x v="9"/>
    <x v="0"/>
    <s v="South"/>
    <n v="1117"/>
    <n v="13404"/>
    <n v="3"/>
    <s v="MEDIUM"/>
    <n v="3"/>
    <n v="0"/>
    <n v="8"/>
  </r>
  <r>
    <n v="530"/>
    <s v="Husam"/>
    <s v="Badr"/>
    <s v="HusamBadr"/>
    <s v="Male"/>
    <x v="60"/>
    <x v="3"/>
    <x v="0"/>
    <x v="5"/>
    <x v="0"/>
    <s v="Main"/>
    <n v="1112"/>
    <n v="13344"/>
    <n v="5"/>
    <s v="HIGH"/>
    <n v="1"/>
    <n v="6"/>
    <n v="40"/>
  </r>
  <r>
    <n v="531"/>
    <s v="Rami"/>
    <s v="Hunun"/>
    <s v="RamiHunun"/>
    <s v="Male"/>
    <x v="343"/>
    <x v="1"/>
    <x v="0"/>
    <x v="9"/>
    <x v="0"/>
    <s v="West"/>
    <n v="1928"/>
    <n v="23136"/>
    <n v="4.5"/>
    <s v="HIGH"/>
    <n v="6"/>
    <n v="0"/>
    <n v="1"/>
  </r>
  <r>
    <n v="532"/>
    <s v="Alia"/>
    <s v="Abu"/>
    <s v="AliaAbu"/>
    <s v="Female"/>
    <x v="436"/>
    <x v="0"/>
    <x v="0"/>
    <x v="8"/>
    <x v="1"/>
    <s v="West"/>
    <n v="3300"/>
    <n v="39600"/>
    <n v="5"/>
    <s v="HIGH"/>
    <n v="0"/>
    <n v="0"/>
    <n v="4"/>
  </r>
  <r>
    <n v="533"/>
    <s v="Samir"/>
    <s v="Sariji"/>
    <s v="SamirSariji"/>
    <s v="Male"/>
    <x v="368"/>
    <x v="1"/>
    <x v="0"/>
    <x v="9"/>
    <x v="0"/>
    <s v="North"/>
    <n v="2378"/>
    <n v="28536"/>
    <n v="5"/>
    <s v="HIGH"/>
    <n v="0"/>
    <n v="0"/>
    <n v="5"/>
  </r>
  <r>
    <n v="534"/>
    <s v="Muhamad"/>
    <s v="Albieli"/>
    <s v="MuhamadAlbieli"/>
    <s v="Male"/>
    <x v="437"/>
    <x v="5"/>
    <x v="1"/>
    <x v="0"/>
    <x v="2"/>
    <s v="Main"/>
    <n v="3138"/>
    <n v="37656"/>
    <n v="5"/>
    <s v="HIGH"/>
    <n v="0"/>
    <n v="0"/>
    <n v="10"/>
  </r>
  <r>
    <n v="535"/>
    <s v="Ahmad"/>
    <s v="Eyd Bndqjy"/>
    <s v="AhmadEyd Bndqjy"/>
    <s v="Male"/>
    <x v="301"/>
    <x v="2"/>
    <x v="1"/>
    <x v="2"/>
    <x v="2"/>
    <s v="Main"/>
    <n v="1981"/>
    <n v="23772"/>
    <n v="5"/>
    <s v="HIGH"/>
    <n v="1"/>
    <n v="0"/>
    <n v="3"/>
  </r>
  <r>
    <n v="536"/>
    <s v="Maria"/>
    <s v="Lulu"/>
    <s v="MariaLulu"/>
    <s v="Female"/>
    <x v="128"/>
    <x v="0"/>
    <x v="0"/>
    <x v="2"/>
    <x v="1"/>
    <s v="North"/>
    <n v="1056"/>
    <n v="12672"/>
    <n v="3"/>
    <s v="MEDIUM"/>
    <n v="0"/>
    <n v="0"/>
    <n v="94"/>
  </r>
  <r>
    <n v="537"/>
    <s v="Muhamad"/>
    <s v="Shhybr"/>
    <s v="MuhamadShhybr"/>
    <s v="Male"/>
    <x v="438"/>
    <x v="3"/>
    <x v="0"/>
    <x v="8"/>
    <x v="0"/>
    <s v="East"/>
    <n v="3295"/>
    <n v="39540"/>
    <n v="5"/>
    <s v="HIGH"/>
    <n v="0"/>
    <n v="0"/>
    <n v="2"/>
  </r>
  <r>
    <n v="538"/>
    <s v="Abdalbasit"/>
    <s v="Aljazayiriu"/>
    <s v="AbdalbasitAljazayiriu"/>
    <s v="Male"/>
    <x v="439"/>
    <x v="3"/>
    <x v="0"/>
    <x v="8"/>
    <x v="0"/>
    <s v="North"/>
    <n v="1022"/>
    <n v="12264"/>
    <n v="4.5"/>
    <s v="HIGH"/>
    <n v="1"/>
    <n v="0"/>
    <n v="2"/>
  </r>
  <r>
    <n v="539"/>
    <s v="Bilal"/>
    <s v="Aywbi"/>
    <s v="BilalAywbi"/>
    <s v="Male"/>
    <x v="440"/>
    <x v="1"/>
    <x v="0"/>
    <x v="6"/>
    <x v="2"/>
    <s v="Main"/>
    <n v="969"/>
    <n v="11628"/>
    <n v="3"/>
    <s v="MEDIUM"/>
    <n v="1"/>
    <n v="0"/>
    <n v="0"/>
  </r>
  <r>
    <n v="540"/>
    <s v="Ahmad"/>
    <s v="Dabana"/>
    <s v="AhmadDabana"/>
    <s v="Male"/>
    <x v="441"/>
    <x v="3"/>
    <x v="0"/>
    <x v="14"/>
    <x v="0"/>
    <s v="North"/>
    <n v="3354"/>
    <n v="40248"/>
    <n v="4.5"/>
    <s v="HIGH"/>
    <n v="3"/>
    <n v="0"/>
    <n v="1"/>
  </r>
  <r>
    <n v="541"/>
    <s v="Fawaz"/>
    <s v="Ghazal"/>
    <s v="FawazGhazal"/>
    <s v="Male"/>
    <x v="442"/>
    <x v="3"/>
    <x v="0"/>
    <x v="0"/>
    <x v="0"/>
    <s v="North"/>
    <n v="2123"/>
    <n v="25476"/>
    <n v="5"/>
    <s v="HIGH"/>
    <n v="0"/>
    <n v="0"/>
    <n v="15"/>
  </r>
  <r>
    <n v="542"/>
    <s v="Bisam"/>
    <s v="Altahhan"/>
    <s v="BisamAltahhan"/>
    <s v="Female"/>
    <x v="443"/>
    <x v="3"/>
    <x v="0"/>
    <x v="8"/>
    <x v="0"/>
    <s v="West"/>
    <n v="897"/>
    <n v="10764"/>
    <n v="3"/>
    <s v="MEDIUM"/>
    <n v="2"/>
    <n v="0"/>
    <n v="11"/>
  </r>
  <r>
    <n v="543"/>
    <s v="Muhamad"/>
    <s v="Amir"/>
    <s v="MuhamadAmir"/>
    <s v="Male"/>
    <x v="444"/>
    <x v="0"/>
    <x v="0"/>
    <x v="0"/>
    <x v="1"/>
    <s v="Main"/>
    <n v="2925"/>
    <n v="35100"/>
    <n v="3"/>
    <s v="MEDIUM"/>
    <n v="3"/>
    <n v="0"/>
    <n v="14"/>
  </r>
  <r>
    <n v="544"/>
    <s v="Lilas"/>
    <s v="Nafae"/>
    <s v="LilasNafae"/>
    <s v="Female"/>
    <x v="251"/>
    <x v="0"/>
    <x v="0"/>
    <x v="0"/>
    <x v="0"/>
    <s v="Main"/>
    <n v="1895"/>
    <n v="22740"/>
    <n v="2"/>
    <s v="LOW"/>
    <n v="0"/>
    <n v="5"/>
    <n v="81"/>
  </r>
  <r>
    <n v="545"/>
    <s v="Muhamad"/>
    <s v="Ayman"/>
    <s v="MuhamadAyman"/>
    <s v="Male"/>
    <x v="445"/>
    <x v="4"/>
    <x v="1"/>
    <x v="17"/>
    <x v="0"/>
    <s v="West"/>
    <n v="2191"/>
    <n v="26292"/>
    <n v="5"/>
    <s v="HIGH"/>
    <n v="2"/>
    <n v="0"/>
    <n v="7"/>
  </r>
  <r>
    <n v="546"/>
    <s v="Ranim"/>
    <s v="Earabi"/>
    <s v="RanimEarabi"/>
    <s v="Female"/>
    <x v="446"/>
    <x v="3"/>
    <x v="0"/>
    <x v="16"/>
    <x v="0"/>
    <s v="North"/>
    <n v="3130"/>
    <n v="37560"/>
    <n v="3"/>
    <s v="MEDIUM"/>
    <n v="0"/>
    <n v="0"/>
    <n v="5"/>
  </r>
  <r>
    <n v="547"/>
    <s v="Amani"/>
    <s v="Altujjar"/>
    <s v="AmaniAltujjar"/>
    <s v="Female"/>
    <x v="447"/>
    <x v="5"/>
    <x v="1"/>
    <x v="3"/>
    <x v="0"/>
    <s v="West"/>
    <n v="2654"/>
    <n v="31848"/>
    <n v="3"/>
    <s v="MEDIUM"/>
    <n v="0"/>
    <n v="1"/>
    <n v="7"/>
  </r>
  <r>
    <n v="548"/>
    <s v="Muhamad"/>
    <s v="Rashid"/>
    <s v="MuhamadRashid"/>
    <s v="Male"/>
    <x v="321"/>
    <x v="1"/>
    <x v="0"/>
    <x v="0"/>
    <x v="1"/>
    <s v="Main"/>
    <n v="859"/>
    <n v="10308"/>
    <n v="5"/>
    <s v="HIGH"/>
    <n v="0"/>
    <n v="1"/>
    <n v="5"/>
  </r>
  <r>
    <n v="549"/>
    <s v="Amin"/>
    <s v="Hamid"/>
    <s v="AminHamid"/>
    <s v="Male"/>
    <x v="448"/>
    <x v="5"/>
    <x v="1"/>
    <x v="12"/>
    <x v="0"/>
    <s v="North"/>
    <n v="1113"/>
    <n v="13356"/>
    <n v="3"/>
    <s v="MEDIUM"/>
    <n v="4"/>
    <n v="0"/>
    <n v="11"/>
  </r>
  <r>
    <n v="550"/>
    <s v="Khalid"/>
    <s v="Jameah"/>
    <s v="KhalidJameah"/>
    <s v="Male"/>
    <x v="155"/>
    <x v="3"/>
    <x v="0"/>
    <x v="5"/>
    <x v="0"/>
    <s v="South"/>
    <n v="1234"/>
    <n v="14808"/>
    <n v="5"/>
    <s v="HIGH"/>
    <n v="1"/>
    <n v="5"/>
    <n v="10"/>
  </r>
  <r>
    <n v="551"/>
    <s v="Fahd"/>
    <s v="Shaykh"/>
    <s v="FahdShaykh"/>
    <s v="Male"/>
    <x v="28"/>
    <x v="3"/>
    <x v="0"/>
    <x v="9"/>
    <x v="0"/>
    <s v="North"/>
    <n v="2647"/>
    <n v="31764"/>
    <n v="3"/>
    <s v="MEDIUM"/>
    <n v="4"/>
    <n v="0"/>
    <n v="1"/>
  </r>
  <r>
    <n v="552"/>
    <s v="Lilas"/>
    <s v="Kashik"/>
    <s v="LilasKashik"/>
    <s v="Female"/>
    <x v="449"/>
    <x v="5"/>
    <x v="1"/>
    <x v="6"/>
    <x v="1"/>
    <s v="North"/>
    <n v="2200"/>
    <n v="26400"/>
    <n v="1"/>
    <s v="LOW"/>
    <n v="1"/>
    <n v="0"/>
    <n v="6"/>
  </r>
  <r>
    <n v="553"/>
    <s v="Fatima"/>
    <s v="Hasan"/>
    <s v="FatimaHasan"/>
    <s v="Female"/>
    <x v="323"/>
    <x v="2"/>
    <x v="1"/>
    <x v="1"/>
    <x v="0"/>
    <s v="North"/>
    <n v="2381"/>
    <n v="28572"/>
    <n v="4.5"/>
    <s v="HIGH"/>
    <n v="2"/>
    <n v="0"/>
    <n v="10"/>
  </r>
  <r>
    <n v="554"/>
    <s v="Diea"/>
    <s v="Dakhal"/>
    <s v="DieaDakhal"/>
    <s v="Male"/>
    <x v="45"/>
    <x v="3"/>
    <x v="0"/>
    <x v="5"/>
    <x v="2"/>
    <s v="Main"/>
    <n v="2329"/>
    <n v="27948"/>
    <n v="2"/>
    <s v="LOW"/>
    <n v="0"/>
    <n v="0"/>
    <n v="5"/>
  </r>
  <r>
    <n v="555"/>
    <s v="Amir"/>
    <s v="Karishati"/>
    <s v="AmirKarishati"/>
    <s v="Male"/>
    <x v="450"/>
    <x v="3"/>
    <x v="0"/>
    <x v="2"/>
    <x v="0"/>
    <s v="Main"/>
    <n v="1075"/>
    <n v="12900"/>
    <n v="3"/>
    <s v="MEDIUM"/>
    <n v="0"/>
    <n v="4"/>
    <n v="61"/>
  </r>
  <r>
    <n v="556"/>
    <s v="Madlin"/>
    <s v="Alsaed"/>
    <s v="MadlinAlsaed"/>
    <s v="Female"/>
    <x v="451"/>
    <x v="2"/>
    <x v="1"/>
    <x v="9"/>
    <x v="0"/>
    <s v="Main"/>
    <n v="3110"/>
    <n v="37320"/>
    <n v="1"/>
    <s v="LOW"/>
    <n v="1"/>
    <n v="4"/>
    <n v="1"/>
  </r>
  <r>
    <n v="557"/>
    <s v="Adnan"/>
    <s v="Aleaqla"/>
    <s v="AdnanAleaqla"/>
    <s v="Male"/>
    <x v="452"/>
    <x v="2"/>
    <x v="1"/>
    <x v="2"/>
    <x v="0"/>
    <s v="North"/>
    <n v="2777"/>
    <n v="33324"/>
    <n v="5"/>
    <s v="HIGH"/>
    <n v="0"/>
    <n v="0"/>
    <n v="10"/>
  </r>
  <r>
    <n v="558"/>
    <s v="Muhamad"/>
    <s v="Eursaly"/>
    <s v="MuhamadEursaly"/>
    <s v="Male"/>
    <x v="453"/>
    <x v="0"/>
    <x v="0"/>
    <x v="11"/>
    <x v="0"/>
    <s v="West"/>
    <n v="2306"/>
    <n v="27672"/>
    <n v="2"/>
    <s v="LOW"/>
    <n v="5"/>
    <n v="5"/>
    <n v="11"/>
  </r>
  <r>
    <n v="559"/>
    <s v="Ranya"/>
    <s v="Alaishhab"/>
    <s v="RanyaAlaishhab"/>
    <s v="Female"/>
    <x v="454"/>
    <x v="5"/>
    <x v="1"/>
    <x v="12"/>
    <x v="0"/>
    <s v="Main"/>
    <n v="1213"/>
    <n v="14556"/>
    <n v="3"/>
    <s v="MEDIUM"/>
    <n v="0"/>
    <n v="0"/>
    <n v="10"/>
  </r>
  <r>
    <n v="560"/>
    <s v="Rulaa"/>
    <s v="Shannar"/>
    <s v="RulaaShannar"/>
    <s v="Female"/>
    <x v="455"/>
    <x v="1"/>
    <x v="0"/>
    <x v="12"/>
    <x v="0"/>
    <s v="South"/>
    <n v="2680"/>
    <n v="32160"/>
    <n v="4.5"/>
    <s v="HIGH"/>
    <n v="0"/>
    <n v="0"/>
    <n v="1"/>
  </r>
  <r>
    <n v="561"/>
    <s v="Aynas"/>
    <s v="Alhiwat"/>
    <s v="AynasAlhiwat"/>
    <s v="Female"/>
    <x v="456"/>
    <x v="1"/>
    <x v="0"/>
    <x v="12"/>
    <x v="0"/>
    <s v="East"/>
    <n v="2204"/>
    <n v="26448"/>
    <n v="4.5"/>
    <s v="HIGH"/>
    <n v="1"/>
    <n v="0"/>
    <n v="4"/>
  </r>
  <r>
    <n v="562"/>
    <s v="Sara"/>
    <s v="Tabanaj"/>
    <s v="SaraTabanaj"/>
    <s v="Female"/>
    <x v="431"/>
    <x v="2"/>
    <x v="1"/>
    <x v="2"/>
    <x v="0"/>
    <s v="Main"/>
    <n v="1297"/>
    <n v="15564"/>
    <n v="2"/>
    <s v="LOW"/>
    <n v="2"/>
    <n v="0"/>
    <n v="8"/>
  </r>
  <r>
    <n v="563"/>
    <s v="Abd Allah"/>
    <s v="Aldahan"/>
    <s v="Abd AllahAldahan"/>
    <s v="Male"/>
    <x v="349"/>
    <x v="1"/>
    <x v="0"/>
    <x v="0"/>
    <x v="0"/>
    <s v="North"/>
    <n v="3024"/>
    <n v="36288"/>
    <n v="4.5"/>
    <s v="HIGH"/>
    <n v="6"/>
    <n v="1"/>
    <n v="48"/>
  </r>
  <r>
    <n v="564"/>
    <s v="Muhamad"/>
    <s v="Ramzi"/>
    <s v="MuhamadRamzi"/>
    <s v="Male"/>
    <x v="457"/>
    <x v="2"/>
    <x v="1"/>
    <x v="15"/>
    <x v="0"/>
    <s v="Main"/>
    <n v="2228"/>
    <n v="26736"/>
    <n v="5"/>
    <s v="HIGH"/>
    <n v="1"/>
    <n v="0"/>
    <n v="78"/>
  </r>
  <r>
    <n v="565"/>
    <s v="Jan"/>
    <s v="Mikayiylian"/>
    <s v="JanMikayiylian"/>
    <s v="Male"/>
    <x v="458"/>
    <x v="4"/>
    <x v="1"/>
    <x v="12"/>
    <x v="0"/>
    <s v="West"/>
    <n v="2009"/>
    <n v="24108"/>
    <n v="4.5"/>
    <s v="HIGH"/>
    <n v="6"/>
    <n v="0"/>
    <n v="0"/>
  </r>
  <r>
    <n v="566"/>
    <s v="Almuthanaa"/>
    <s v="Alsaediu"/>
    <s v="AlmuthanaaAlsaediu"/>
    <s v="Male"/>
    <x v="459"/>
    <x v="1"/>
    <x v="0"/>
    <x v="5"/>
    <x v="0"/>
    <s v="North"/>
    <n v="2573"/>
    <n v="30876"/>
    <n v="5"/>
    <s v="HIGH"/>
    <n v="0"/>
    <n v="0"/>
    <n v="28"/>
  </r>
  <r>
    <n v="567"/>
    <s v="Emad"/>
    <s v="Dulul"/>
    <s v="EmadDulul"/>
    <s v="Male"/>
    <x v="0"/>
    <x v="0"/>
    <x v="0"/>
    <x v="2"/>
    <x v="0"/>
    <s v="North"/>
    <n v="1938"/>
    <n v="23256"/>
    <n v="3"/>
    <s v="MEDIUM"/>
    <n v="0"/>
    <n v="0"/>
    <n v="7"/>
  </r>
  <r>
    <n v="568"/>
    <s v="Sarah"/>
    <s v="Haydar"/>
    <s v="SarahHaydar"/>
    <s v="Female"/>
    <x v="209"/>
    <x v="3"/>
    <x v="0"/>
    <x v="5"/>
    <x v="0"/>
    <s v="Main"/>
    <n v="1208"/>
    <n v="14496"/>
    <n v="5"/>
    <s v="HIGH"/>
    <n v="3"/>
    <n v="0"/>
    <n v="10"/>
  </r>
  <r>
    <n v="569"/>
    <s v="Abdalkarim"/>
    <s v="Shueayb"/>
    <s v="AbdalkarimShueayb"/>
    <s v="Male"/>
    <x v="209"/>
    <x v="3"/>
    <x v="0"/>
    <x v="10"/>
    <x v="3"/>
    <s v="West"/>
    <n v="2342"/>
    <n v="28104"/>
    <n v="4.5"/>
    <s v="HIGH"/>
    <n v="5"/>
    <n v="0"/>
    <n v="10"/>
  </r>
  <r>
    <n v="570"/>
    <s v="Muhamad"/>
    <s v="Khayr"/>
    <s v="MuhamadKhayr"/>
    <s v="Male"/>
    <x v="460"/>
    <x v="1"/>
    <x v="0"/>
    <x v="7"/>
    <x v="0"/>
    <s v="Main"/>
    <n v="3244"/>
    <n v="38928"/>
    <n v="4.5"/>
    <s v="HIGH"/>
    <n v="0"/>
    <n v="0"/>
    <n v="78"/>
  </r>
  <r>
    <n v="571"/>
    <s v="Shadi"/>
    <s v="Qitan"/>
    <s v="ShadiQitan"/>
    <s v="Male"/>
    <x v="461"/>
    <x v="2"/>
    <x v="1"/>
    <x v="5"/>
    <x v="0"/>
    <s v="North"/>
    <n v="2613"/>
    <n v="31356"/>
    <n v="4.5"/>
    <s v="HIGH"/>
    <n v="0"/>
    <n v="1"/>
    <n v="5"/>
  </r>
  <r>
    <n v="572"/>
    <s v="Muhamad"/>
    <s v="Rajab"/>
    <s v="MuhamadRajab"/>
    <s v="Male"/>
    <x v="462"/>
    <x v="1"/>
    <x v="0"/>
    <x v="2"/>
    <x v="1"/>
    <s v="Main"/>
    <n v="2263"/>
    <n v="27156"/>
    <n v="5"/>
    <s v="HIGH"/>
    <n v="0"/>
    <n v="0"/>
    <n v="9"/>
  </r>
  <r>
    <n v="573"/>
    <s v="Khalid"/>
    <s v="Alkhawam"/>
    <s v="KhalidAlkhawam"/>
    <s v="Male"/>
    <x v="232"/>
    <x v="5"/>
    <x v="1"/>
    <x v="5"/>
    <x v="0"/>
    <s v="East"/>
    <n v="3157"/>
    <n v="37884"/>
    <n v="5"/>
    <s v="HIGH"/>
    <n v="0"/>
    <n v="0"/>
    <n v="1"/>
  </r>
  <r>
    <n v="574"/>
    <s v="Muhamad"/>
    <s v="Asamh"/>
    <s v="MuhamadAsamh"/>
    <s v="Male"/>
    <x v="463"/>
    <x v="2"/>
    <x v="1"/>
    <x v="5"/>
    <x v="3"/>
    <s v="South"/>
    <n v="2519"/>
    <n v="30228"/>
    <n v="5"/>
    <s v="HIGH"/>
    <n v="2"/>
    <n v="2"/>
    <n v="10"/>
  </r>
  <r>
    <n v="575"/>
    <s v="Alaa"/>
    <s v="Alyusif"/>
    <s v="AlaaAlyusif"/>
    <s v="Female"/>
    <x v="464"/>
    <x v="3"/>
    <x v="0"/>
    <x v="7"/>
    <x v="2"/>
    <s v="West"/>
    <n v="3019"/>
    <n v="36228"/>
    <n v="4.5"/>
    <s v="HIGH"/>
    <n v="2"/>
    <n v="0"/>
    <n v="15"/>
  </r>
  <r>
    <n v="576"/>
    <s v="Asym"/>
    <s v="Aleaqqad"/>
    <s v="AsymAleaqqad"/>
    <s v="Female"/>
    <x v="465"/>
    <x v="3"/>
    <x v="0"/>
    <x v="2"/>
    <x v="2"/>
    <s v="East"/>
    <n v="3048"/>
    <n v="36576"/>
    <n v="2"/>
    <s v="LOW"/>
    <n v="3"/>
    <n v="6"/>
    <n v="6"/>
  </r>
  <r>
    <n v="577"/>
    <s v="Ahmad"/>
    <s v="Dahman"/>
    <s v="AhmadDahman"/>
    <s v="Male"/>
    <x v="466"/>
    <x v="3"/>
    <x v="0"/>
    <x v="2"/>
    <x v="0"/>
    <s v="West"/>
    <n v="1523"/>
    <n v="18276"/>
    <n v="4.5"/>
    <s v="HIGH"/>
    <n v="0"/>
    <n v="4"/>
    <n v="2"/>
  </r>
  <r>
    <n v="578"/>
    <s v="Oqba"/>
    <s v="Alqintar"/>
    <s v="OqbaAlqintar"/>
    <s v="Male"/>
    <x v="467"/>
    <x v="0"/>
    <x v="0"/>
    <x v="9"/>
    <x v="0"/>
    <s v="East"/>
    <n v="2197"/>
    <n v="26364"/>
    <n v="1"/>
    <s v="LOW"/>
    <n v="1"/>
    <n v="0"/>
    <n v="8"/>
  </r>
  <r>
    <n v="579"/>
    <s v="Rahaf"/>
    <s v="Laylanaan"/>
    <s v="RahafLaylanaan"/>
    <s v="Female"/>
    <x v="468"/>
    <x v="3"/>
    <x v="0"/>
    <x v="3"/>
    <x v="0"/>
    <s v="Main"/>
    <n v="1870"/>
    <n v="22440"/>
    <n v="4.5"/>
    <s v="HIGH"/>
    <n v="0"/>
    <n v="3"/>
    <n v="15"/>
  </r>
  <r>
    <n v="580"/>
    <s v="Muhamad"/>
    <s v="Rajab"/>
    <s v="MuhamadRajab"/>
    <s v="Male"/>
    <x v="469"/>
    <x v="2"/>
    <x v="1"/>
    <x v="2"/>
    <x v="2"/>
    <s v="Main"/>
    <n v="1058"/>
    <n v="12696"/>
    <n v="5"/>
    <s v="HIGH"/>
    <n v="0"/>
    <n v="0"/>
    <n v="10"/>
  </r>
  <r>
    <n v="581"/>
    <s v="Ramadan"/>
    <s v="Muhii Aldiyn"/>
    <s v="RamadanMuhii Aldiyn"/>
    <s v="Male"/>
    <x v="328"/>
    <x v="3"/>
    <x v="0"/>
    <x v="4"/>
    <x v="0"/>
    <s v="South"/>
    <n v="1257"/>
    <n v="15084"/>
    <n v="4.5"/>
    <s v="HIGH"/>
    <n v="1"/>
    <n v="3"/>
    <n v="2"/>
  </r>
  <r>
    <n v="582"/>
    <s v="Zaynab"/>
    <s v="Eirat"/>
    <s v="ZaynabEirat"/>
    <s v="Female"/>
    <x v="407"/>
    <x v="3"/>
    <x v="0"/>
    <x v="3"/>
    <x v="2"/>
    <s v="Main"/>
    <n v="819"/>
    <n v="9828"/>
    <n v="4.5"/>
    <s v="HIGH"/>
    <n v="5"/>
    <n v="0"/>
    <n v="7"/>
  </r>
  <r>
    <n v="583"/>
    <s v="Salah Aldiyn"/>
    <s v="Altibae"/>
    <s v="Salah AldiynAltibae"/>
    <s v="Male"/>
    <x v="181"/>
    <x v="3"/>
    <x v="0"/>
    <x v="19"/>
    <x v="2"/>
    <s v="North"/>
    <n v="3068"/>
    <n v="36816"/>
    <n v="2"/>
    <s v="LOW"/>
    <n v="4"/>
    <n v="0"/>
    <n v="8"/>
  </r>
  <r>
    <n v="584"/>
    <s v="Faras"/>
    <s v="Alghandur"/>
    <s v="FarasAlghandur"/>
    <s v="Male"/>
    <x v="470"/>
    <x v="3"/>
    <x v="0"/>
    <x v="7"/>
    <x v="3"/>
    <s v="East"/>
    <n v="1814"/>
    <n v="21768"/>
    <n v="3"/>
    <s v="MEDIUM"/>
    <n v="0"/>
    <n v="0"/>
    <n v="6"/>
  </r>
  <r>
    <n v="585"/>
    <s v="Husam"/>
    <s v="Tamim"/>
    <s v="HusamTamim"/>
    <s v="Male"/>
    <x v="471"/>
    <x v="3"/>
    <x v="0"/>
    <x v="0"/>
    <x v="0"/>
    <s v="East"/>
    <n v="1076"/>
    <n v="12912"/>
    <n v="5"/>
    <s v="HIGH"/>
    <n v="1"/>
    <n v="0"/>
    <n v="4"/>
  </r>
  <r>
    <n v="586"/>
    <s v="Ayat"/>
    <s v="Byd"/>
    <s v="AyatByd"/>
    <s v="Female"/>
    <x v="472"/>
    <x v="5"/>
    <x v="1"/>
    <x v="17"/>
    <x v="0"/>
    <s v="North"/>
    <n v="3120"/>
    <n v="37440"/>
    <n v="3"/>
    <s v="MEDIUM"/>
    <n v="3"/>
    <n v="0"/>
    <n v="2"/>
  </r>
  <r>
    <n v="587"/>
    <s v="Rima"/>
    <s v="Daly"/>
    <s v="RimaDaly"/>
    <s v="Female"/>
    <x v="473"/>
    <x v="1"/>
    <x v="0"/>
    <x v="0"/>
    <x v="0"/>
    <s v="North"/>
    <n v="1359"/>
    <n v="16308"/>
    <n v="2"/>
    <s v="LOW"/>
    <n v="0"/>
    <n v="0"/>
    <n v="8"/>
  </r>
  <r>
    <n v="588"/>
    <s v="Muhamad"/>
    <s v="Almunajid"/>
    <s v="MuhamadAlmunajid"/>
    <s v="Male"/>
    <x v="474"/>
    <x v="3"/>
    <x v="0"/>
    <x v="2"/>
    <x v="0"/>
    <s v="North"/>
    <n v="3391"/>
    <n v="40692"/>
    <n v="1"/>
    <s v="LOW"/>
    <n v="0"/>
    <n v="3"/>
    <n v="1"/>
  </r>
  <r>
    <n v="589"/>
    <s v="Eynas"/>
    <s v="Muhamad"/>
    <s v="EynasMuhamad"/>
    <s v="Female"/>
    <x v="475"/>
    <x v="1"/>
    <x v="0"/>
    <x v="7"/>
    <x v="3"/>
    <s v="Main"/>
    <n v="1892"/>
    <n v="22704"/>
    <n v="5"/>
    <s v="HIGH"/>
    <n v="0"/>
    <n v="0"/>
    <n v="6"/>
  </r>
  <r>
    <n v="590"/>
    <s v="Ahmad"/>
    <s v="Ahmid"/>
    <s v="AhmadAhmid"/>
    <s v="Male"/>
    <x v="476"/>
    <x v="3"/>
    <x v="0"/>
    <x v="2"/>
    <x v="0"/>
    <s v="West"/>
    <n v="2639"/>
    <n v="31668"/>
    <n v="1"/>
    <s v="LOW"/>
    <n v="1"/>
    <n v="0"/>
    <n v="3"/>
  </r>
  <r>
    <n v="591"/>
    <s v="Madlin"/>
    <s v="Aljabaei"/>
    <s v="MadlinAljabaei"/>
    <s v="Female"/>
    <x v="87"/>
    <x v="1"/>
    <x v="0"/>
    <x v="8"/>
    <x v="0"/>
    <s v="North"/>
    <n v="1580"/>
    <n v="18960"/>
    <n v="5"/>
    <s v="HIGH"/>
    <n v="2"/>
    <n v="5"/>
    <n v="6"/>
  </r>
  <r>
    <n v="592"/>
    <s v="Ali"/>
    <s v="Alqadri"/>
    <s v="AliAlqadri"/>
    <s v="Male"/>
    <x v="477"/>
    <x v="3"/>
    <x v="0"/>
    <x v="0"/>
    <x v="0"/>
    <s v="North"/>
    <n v="2186"/>
    <n v="26232"/>
    <n v="3"/>
    <s v="MEDIUM"/>
    <n v="0"/>
    <n v="0"/>
    <n v="4"/>
  </r>
  <r>
    <n v="593"/>
    <s v="Muhamad"/>
    <s v="Dib"/>
    <s v="MuhamadDib"/>
    <s v="Male"/>
    <x v="248"/>
    <x v="3"/>
    <x v="0"/>
    <x v="8"/>
    <x v="2"/>
    <s v="West"/>
    <n v="1574"/>
    <n v="18888"/>
    <n v="2"/>
    <s v="LOW"/>
    <n v="0"/>
    <n v="0"/>
    <n v="6"/>
  </r>
  <r>
    <n v="594"/>
    <s v="Hanan"/>
    <s v="Bradiei"/>
    <s v="HananBradiei"/>
    <s v="Female"/>
    <x v="478"/>
    <x v="2"/>
    <x v="1"/>
    <x v="5"/>
    <x v="1"/>
    <s v="North"/>
    <n v="2013"/>
    <n v="24156"/>
    <n v="4.5"/>
    <s v="HIGH"/>
    <n v="6"/>
    <n v="0"/>
    <n v="8"/>
  </r>
  <r>
    <n v="595"/>
    <s v="Danah"/>
    <s v="Suirkili"/>
    <s v="DanahSuirkili"/>
    <s v="Female"/>
    <x v="479"/>
    <x v="3"/>
    <x v="0"/>
    <x v="7"/>
    <x v="0"/>
    <s v="North"/>
    <n v="2075"/>
    <n v="24900"/>
    <n v="2"/>
    <s v="LOW"/>
    <n v="0"/>
    <n v="0"/>
    <n v="5"/>
  </r>
  <r>
    <n v="596"/>
    <s v="Ghada"/>
    <s v="Darakal"/>
    <s v="GhadaDarakal"/>
    <s v="Female"/>
    <x v="480"/>
    <x v="0"/>
    <x v="0"/>
    <x v="2"/>
    <x v="0"/>
    <s v="North"/>
    <n v="1372"/>
    <n v="16464"/>
    <n v="1"/>
    <s v="LOW"/>
    <n v="0"/>
    <n v="3"/>
    <n v="2"/>
  </r>
  <r>
    <n v="597"/>
    <s v="Mazin"/>
    <s v="Bihtiti"/>
    <s v="MazinBihtiti"/>
    <s v="Male"/>
    <x v="175"/>
    <x v="0"/>
    <x v="0"/>
    <x v="8"/>
    <x v="0"/>
    <s v="Main"/>
    <n v="2026"/>
    <n v="24312"/>
    <n v="4.5"/>
    <s v="HIGH"/>
    <n v="0"/>
    <n v="0"/>
    <n v="7"/>
  </r>
  <r>
    <n v="598"/>
    <s v="Ridwan"/>
    <s v="Alshulyan"/>
    <s v="RidwanAlshulyan"/>
    <s v="Male"/>
    <x v="481"/>
    <x v="2"/>
    <x v="1"/>
    <x v="2"/>
    <x v="2"/>
    <s v="North"/>
    <n v="1351"/>
    <n v="16212"/>
    <n v="2"/>
    <s v="LOW"/>
    <n v="0"/>
    <n v="0"/>
    <n v="8"/>
  </r>
  <r>
    <n v="599"/>
    <s v="Ali"/>
    <s v="Barghaly"/>
    <s v="AliBarghaly"/>
    <s v="Male"/>
    <x v="482"/>
    <x v="2"/>
    <x v="1"/>
    <x v="0"/>
    <x v="0"/>
    <s v="West"/>
    <n v="1111"/>
    <n v="13332"/>
    <n v="1"/>
    <s v="LOW"/>
    <n v="3"/>
    <n v="0"/>
    <n v="6"/>
  </r>
  <r>
    <n v="600"/>
    <s v="Iad"/>
    <s v="Badran"/>
    <s v="IadBadran"/>
    <s v="Male"/>
    <x v="270"/>
    <x v="1"/>
    <x v="0"/>
    <x v="0"/>
    <x v="0"/>
    <s v="North"/>
    <n v="1554"/>
    <n v="18648"/>
    <n v="5"/>
    <s v="HIGH"/>
    <n v="6"/>
    <n v="5"/>
    <n v="8"/>
  </r>
  <r>
    <n v="601"/>
    <s v="Abdalrhmin"/>
    <s v="Shwk"/>
    <s v="AbdalrhminShwk"/>
    <s v="Male"/>
    <x v="483"/>
    <x v="3"/>
    <x v="0"/>
    <x v="12"/>
    <x v="1"/>
    <s v="West"/>
    <n v="3057"/>
    <n v="36684"/>
    <n v="5"/>
    <s v="HIGH"/>
    <n v="0"/>
    <n v="0"/>
    <n v="0"/>
  </r>
  <r>
    <n v="602"/>
    <s v="Husam"/>
    <s v="Aldiyn"/>
    <s v="HusamAldiyn"/>
    <s v="Male"/>
    <x v="484"/>
    <x v="0"/>
    <x v="0"/>
    <x v="7"/>
    <x v="1"/>
    <s v="South"/>
    <n v="1733"/>
    <n v="20796"/>
    <n v="3"/>
    <s v="MEDIUM"/>
    <n v="0"/>
    <n v="0"/>
    <n v="3"/>
  </r>
  <r>
    <n v="603"/>
    <s v="Ahmad"/>
    <s v="Hamuwdatan"/>
    <s v="AhmadHamuwdatan"/>
    <s v="Male"/>
    <x v="485"/>
    <x v="4"/>
    <x v="1"/>
    <x v="17"/>
    <x v="0"/>
    <s v="Main"/>
    <n v="1511"/>
    <n v="18132"/>
    <n v="5"/>
    <s v="HIGH"/>
    <n v="0"/>
    <n v="0"/>
    <n v="2"/>
  </r>
  <r>
    <n v="604"/>
    <s v="Ahmad"/>
    <s v="Laylana"/>
    <s v="AhmadLaylana"/>
    <s v="Male"/>
    <x v="486"/>
    <x v="5"/>
    <x v="1"/>
    <x v="4"/>
    <x v="0"/>
    <s v="Main"/>
    <n v="2542"/>
    <n v="30504"/>
    <n v="5"/>
    <s v="HIGH"/>
    <n v="0"/>
    <n v="6"/>
    <n v="6"/>
  </r>
  <r>
    <n v="605"/>
    <s v="Shuruq"/>
    <s v="Aljuju"/>
    <s v="ShuruqAljuju"/>
    <s v="Female"/>
    <x v="438"/>
    <x v="3"/>
    <x v="0"/>
    <x v="0"/>
    <x v="0"/>
    <s v="North"/>
    <n v="1573"/>
    <n v="18876"/>
    <n v="1"/>
    <s v="LOW"/>
    <n v="2"/>
    <n v="0"/>
    <n v="3"/>
  </r>
  <r>
    <n v="606"/>
    <s v="Muhamad"/>
    <s v="Alshahrur"/>
    <s v="MuhamadAlshahrur"/>
    <s v="Male"/>
    <x v="487"/>
    <x v="2"/>
    <x v="1"/>
    <x v="2"/>
    <x v="3"/>
    <s v="Main"/>
    <n v="2604"/>
    <n v="31248"/>
    <n v="3"/>
    <s v="MEDIUM"/>
    <n v="0"/>
    <n v="0"/>
    <n v="1"/>
  </r>
  <r>
    <n v="607"/>
    <s v="Rafif"/>
    <s v="Khalf"/>
    <s v="RafifKhalf"/>
    <s v="Female"/>
    <x v="174"/>
    <x v="3"/>
    <x v="0"/>
    <x v="12"/>
    <x v="3"/>
    <s v="West"/>
    <n v="3152"/>
    <n v="37824"/>
    <n v="5"/>
    <s v="HIGH"/>
    <n v="0"/>
    <n v="0"/>
    <n v="8"/>
  </r>
  <r>
    <n v="608"/>
    <s v="Muhamad"/>
    <s v="Alkhatib"/>
    <s v="MuhamadAlkhatib"/>
    <s v="Male"/>
    <x v="411"/>
    <x v="1"/>
    <x v="0"/>
    <x v="5"/>
    <x v="2"/>
    <s v="East"/>
    <n v="2655"/>
    <n v="31860"/>
    <n v="5"/>
    <s v="HIGH"/>
    <n v="0"/>
    <n v="0"/>
    <n v="6"/>
  </r>
  <r>
    <n v="609"/>
    <s v="Muhamad"/>
    <s v="Albarnawi"/>
    <s v="MuhamadAlbarnawi"/>
    <s v="Male"/>
    <x v="488"/>
    <x v="4"/>
    <x v="1"/>
    <x v="10"/>
    <x v="0"/>
    <s v="South"/>
    <n v="1405"/>
    <n v="16860"/>
    <n v="5"/>
    <s v="HIGH"/>
    <n v="6"/>
    <n v="0"/>
    <n v="10"/>
  </r>
  <r>
    <n v="610"/>
    <s v="Ali"/>
    <s v="Almiqdad"/>
    <s v="AliAlmiqdad"/>
    <s v="Male"/>
    <x v="489"/>
    <x v="0"/>
    <x v="0"/>
    <x v="2"/>
    <x v="0"/>
    <s v="North"/>
    <n v="3100"/>
    <n v="37200"/>
    <n v="5"/>
    <s v="HIGH"/>
    <n v="0"/>
    <n v="0"/>
    <n v="7"/>
  </r>
  <r>
    <n v="611"/>
    <s v="Ranya"/>
    <s v="Faris"/>
    <s v="RanyaFaris"/>
    <s v="Female"/>
    <x v="490"/>
    <x v="2"/>
    <x v="1"/>
    <x v="2"/>
    <x v="2"/>
    <s v="East"/>
    <n v="2729"/>
    <n v="32748"/>
    <n v="4.5"/>
    <s v="HIGH"/>
    <n v="0"/>
    <n v="0"/>
    <n v="6"/>
  </r>
  <r>
    <n v="612"/>
    <s v="Ali"/>
    <s v="Alshaykh"/>
    <s v="AliAlshaykh"/>
    <s v="Male"/>
    <x v="352"/>
    <x v="0"/>
    <x v="0"/>
    <x v="9"/>
    <x v="0"/>
    <s v="Main"/>
    <n v="1467"/>
    <n v="17604"/>
    <n v="5"/>
    <s v="HIGH"/>
    <n v="0"/>
    <n v="0"/>
    <n v="7"/>
  </r>
  <r>
    <n v="613"/>
    <s v="Iin"/>
    <s v="Kafa"/>
    <s v="IinKafa"/>
    <s v="Female"/>
    <x v="491"/>
    <x v="5"/>
    <x v="1"/>
    <x v="2"/>
    <x v="1"/>
    <s v="Main"/>
    <n v="1612"/>
    <n v="19344"/>
    <n v="5"/>
    <s v="HIGH"/>
    <n v="0"/>
    <n v="0"/>
    <n v="4"/>
  </r>
  <r>
    <n v="614"/>
    <s v="Muhamad"/>
    <s v="Almaghribi"/>
    <s v="MuhamadAlmaghribi"/>
    <s v="Male"/>
    <x v="290"/>
    <x v="3"/>
    <x v="0"/>
    <x v="0"/>
    <x v="0"/>
    <s v="Main"/>
    <n v="2901"/>
    <n v="34812"/>
    <n v="5"/>
    <s v="HIGH"/>
    <n v="0"/>
    <n v="0"/>
    <n v="6"/>
  </r>
  <r>
    <n v="615"/>
    <s v="Sami"/>
    <s v="Aldrwysh"/>
    <s v="SamiAldrwysh"/>
    <s v="Male"/>
    <x v="492"/>
    <x v="2"/>
    <x v="1"/>
    <x v="17"/>
    <x v="0"/>
    <s v="Main"/>
    <n v="1999"/>
    <n v="23988"/>
    <n v="3"/>
    <s v="MEDIUM"/>
    <n v="0"/>
    <n v="0"/>
    <n v="4"/>
  </r>
  <r>
    <n v="616"/>
    <s v="Samah"/>
    <s v="Alkhatib"/>
    <s v="SamahAlkhatib"/>
    <s v="Female"/>
    <x v="493"/>
    <x v="0"/>
    <x v="0"/>
    <x v="5"/>
    <x v="1"/>
    <s v="North"/>
    <n v="705"/>
    <n v="8460"/>
    <n v="3"/>
    <s v="MEDIUM"/>
    <n v="6"/>
    <n v="0"/>
    <n v="8"/>
  </r>
  <r>
    <n v="617"/>
    <s v="Eala"/>
    <s v="Hatim"/>
    <s v="EalaHatim"/>
    <s v="Female"/>
    <x v="494"/>
    <x v="3"/>
    <x v="0"/>
    <x v="4"/>
    <x v="0"/>
    <s v="North"/>
    <n v="3311"/>
    <n v="39732"/>
    <n v="4.5"/>
    <s v="HIGH"/>
    <n v="0"/>
    <n v="0"/>
    <n v="1"/>
  </r>
  <r>
    <n v="618"/>
    <s v="Dalia"/>
    <s v="Nahlawi"/>
    <s v="DaliaNahlawi"/>
    <s v="Female"/>
    <x v="495"/>
    <x v="2"/>
    <x v="1"/>
    <x v="2"/>
    <x v="0"/>
    <s v="West"/>
    <n v="2516"/>
    <n v="30192"/>
    <n v="3"/>
    <s v="MEDIUM"/>
    <n v="6"/>
    <n v="0"/>
    <n v="3"/>
  </r>
  <r>
    <n v="619"/>
    <s v="Rabye'"/>
    <s v="Alzrqawy"/>
    <s v="Rabye'Alzrqawy"/>
    <s v="Male"/>
    <x v="105"/>
    <x v="3"/>
    <x v="0"/>
    <x v="5"/>
    <x v="1"/>
    <s v="North"/>
    <n v="2000"/>
    <n v="24000"/>
    <n v="3"/>
    <s v="MEDIUM"/>
    <n v="1"/>
    <n v="0"/>
    <n v="0"/>
  </r>
  <r>
    <n v="620"/>
    <s v="Kholoud"/>
    <s v="Huquq"/>
    <s v="KholoudHuquq"/>
    <s v="Female"/>
    <x v="496"/>
    <x v="3"/>
    <x v="0"/>
    <x v="8"/>
    <x v="2"/>
    <s v="South"/>
    <n v="2860"/>
    <n v="34320"/>
    <n v="3"/>
    <s v="MEDIUM"/>
    <n v="0"/>
    <n v="6"/>
    <n v="7"/>
  </r>
  <r>
    <n v="621"/>
    <s v="Ibrahim"/>
    <s v="Alqatish"/>
    <s v="IbrahimAlqatish"/>
    <s v="Male"/>
    <x v="397"/>
    <x v="3"/>
    <x v="0"/>
    <x v="0"/>
    <x v="0"/>
    <s v="East"/>
    <n v="943"/>
    <n v="11316"/>
    <n v="4.5"/>
    <s v="HIGH"/>
    <n v="0"/>
    <n v="0"/>
    <n v="1"/>
  </r>
  <r>
    <n v="622"/>
    <s v="Salih"/>
    <s v="Altawil"/>
    <s v="SalihAltawil"/>
    <s v="Male"/>
    <x v="402"/>
    <x v="3"/>
    <x v="0"/>
    <x v="0"/>
    <x v="3"/>
    <s v="Main"/>
    <n v="1018"/>
    <n v="12216"/>
    <n v="2"/>
    <s v="LOW"/>
    <n v="5"/>
    <n v="0"/>
    <n v="10"/>
  </r>
  <r>
    <n v="623"/>
    <s v="Sami"/>
    <s v="Alsyd Ahmad"/>
    <s v="SamiAlsyd Ahmad"/>
    <s v="Male"/>
    <x v="497"/>
    <x v="0"/>
    <x v="0"/>
    <x v="0"/>
    <x v="0"/>
    <s v="South"/>
    <n v="1835"/>
    <n v="22020"/>
    <n v="3"/>
    <s v="MEDIUM"/>
    <n v="1"/>
    <n v="0"/>
    <n v="50"/>
  </r>
  <r>
    <n v="624"/>
    <s v="Zahir"/>
    <s v="Aleitar"/>
    <s v="ZahirAleitar"/>
    <s v="Male"/>
    <x v="251"/>
    <x v="0"/>
    <x v="0"/>
    <x v="12"/>
    <x v="3"/>
    <s v="West"/>
    <n v="2192"/>
    <n v="26304"/>
    <n v="4.5"/>
    <s v="HIGH"/>
    <n v="0"/>
    <n v="4"/>
    <n v="1"/>
  </r>
  <r>
    <n v="625"/>
    <s v="Fatir"/>
    <s v="Alealiu"/>
    <s v="FatirAlealiu"/>
    <s v="Male"/>
    <x v="498"/>
    <x v="3"/>
    <x v="0"/>
    <x v="2"/>
    <x v="0"/>
    <s v="Main"/>
    <n v="2875"/>
    <n v="34500"/>
    <n v="3"/>
    <s v="MEDIUM"/>
    <n v="0"/>
    <n v="0"/>
    <n v="4"/>
  </r>
  <r>
    <n v="626"/>
    <s v="Samir"/>
    <s v="Alealiu"/>
    <s v="SamirAlealiu"/>
    <s v="Male"/>
    <x v="494"/>
    <x v="3"/>
    <x v="0"/>
    <x v="9"/>
    <x v="1"/>
    <s v="West"/>
    <n v="1332"/>
    <n v="15984"/>
    <n v="2"/>
    <s v="LOW"/>
    <n v="0"/>
    <n v="0"/>
    <n v="14"/>
  </r>
  <r>
    <n v="627"/>
    <s v="Muhamad"/>
    <s v="Sulayman"/>
    <s v="MuhamadSulayman"/>
    <s v="Male"/>
    <x v="499"/>
    <x v="2"/>
    <x v="1"/>
    <x v="7"/>
    <x v="1"/>
    <s v="North"/>
    <n v="2023"/>
    <n v="24276"/>
    <n v="5"/>
    <s v="HIGH"/>
    <n v="6"/>
    <n v="0"/>
    <n v="5"/>
  </r>
  <r>
    <n v="628"/>
    <s v="Muhamad"/>
    <s v="Suqabani"/>
    <s v="MuhamadSuqabani"/>
    <s v="Male"/>
    <x v="500"/>
    <x v="1"/>
    <x v="0"/>
    <x v="12"/>
    <x v="0"/>
    <s v="East"/>
    <n v="2094"/>
    <n v="25128"/>
    <n v="4.5"/>
    <s v="HIGH"/>
    <n v="6"/>
    <n v="5"/>
    <n v="2"/>
  </r>
  <r>
    <n v="629"/>
    <s v="Muhamad"/>
    <s v="Aldubbas"/>
    <s v="MuhamadAldubbas"/>
    <s v="Male"/>
    <x v="401"/>
    <x v="3"/>
    <x v="0"/>
    <x v="6"/>
    <x v="1"/>
    <s v="North"/>
    <n v="3006"/>
    <n v="36072"/>
    <n v="4.5"/>
    <s v="HIGH"/>
    <n v="0"/>
    <n v="3"/>
    <n v="7"/>
  </r>
  <r>
    <n v="630"/>
    <s v="Hamzaa"/>
    <s v="Astitih"/>
    <s v="HamzaaAstitih"/>
    <s v="Male"/>
    <x v="214"/>
    <x v="3"/>
    <x v="0"/>
    <x v="2"/>
    <x v="2"/>
    <s v="Main"/>
    <n v="2717"/>
    <n v="32604"/>
    <n v="5"/>
    <s v="HIGH"/>
    <n v="0"/>
    <n v="0"/>
    <n v="7"/>
  </r>
  <r>
    <n v="631"/>
    <s v="Sulayman"/>
    <s v="Zinu"/>
    <s v="SulaymanZinu"/>
    <s v="Male"/>
    <x v="3"/>
    <x v="0"/>
    <x v="0"/>
    <x v="11"/>
    <x v="2"/>
    <s v="Main"/>
    <n v="3135"/>
    <n v="37620"/>
    <n v="3"/>
    <s v="MEDIUM"/>
    <n v="1"/>
    <n v="0"/>
    <n v="5"/>
  </r>
  <r>
    <n v="632"/>
    <s v="Alaa"/>
    <s v="Alrifaei"/>
    <s v="AlaaAlrifaei"/>
    <s v="Female"/>
    <x v="501"/>
    <x v="3"/>
    <x v="0"/>
    <x v="5"/>
    <x v="2"/>
    <s v="North"/>
    <n v="2334"/>
    <n v="28008"/>
    <n v="1"/>
    <s v="LOW"/>
    <n v="2"/>
    <n v="0"/>
    <n v="2"/>
  </r>
  <r>
    <n v="633"/>
    <s v="Rasha"/>
    <s v="Alrifaei"/>
    <s v="RashaAlrifaei"/>
    <s v="Female"/>
    <x v="101"/>
    <x v="0"/>
    <x v="0"/>
    <x v="5"/>
    <x v="0"/>
    <s v="North"/>
    <n v="1661"/>
    <n v="19932"/>
    <n v="5"/>
    <s v="HIGH"/>
    <n v="4"/>
    <n v="0"/>
    <n v="9"/>
  </r>
  <r>
    <n v="634"/>
    <s v="Bayan"/>
    <s v="Darbika"/>
    <s v="BayanDarbika"/>
    <s v="Female"/>
    <x v="502"/>
    <x v="3"/>
    <x v="0"/>
    <x v="19"/>
    <x v="0"/>
    <s v="East"/>
    <n v="1230"/>
    <n v="14760"/>
    <n v="5"/>
    <s v="HIGH"/>
    <n v="0"/>
    <n v="6"/>
    <n v="5"/>
  </r>
  <r>
    <n v="635"/>
    <s v="Iin"/>
    <s v="Almunzilijiu"/>
    <s v="IinAlmunzilijiu"/>
    <s v="Female"/>
    <x v="503"/>
    <x v="4"/>
    <x v="1"/>
    <x v="4"/>
    <x v="1"/>
    <s v="Main"/>
    <n v="1483"/>
    <n v="17796"/>
    <n v="5"/>
    <s v="HIGH"/>
    <n v="0"/>
    <n v="2"/>
    <n v="8"/>
  </r>
  <r>
    <n v="636"/>
    <s v="Abd Alwahhab"/>
    <s v="Aldhiyab"/>
    <s v="Abd AlwahhabAldhiyab"/>
    <s v="Male"/>
    <x v="504"/>
    <x v="3"/>
    <x v="0"/>
    <x v="0"/>
    <x v="2"/>
    <s v="North"/>
    <n v="2462"/>
    <n v="29544"/>
    <n v="3"/>
    <s v="MEDIUM"/>
    <n v="6"/>
    <n v="3"/>
    <n v="2"/>
  </r>
  <r>
    <n v="637"/>
    <s v="Hanan"/>
    <s v="Salahi"/>
    <s v="HananSalahi"/>
    <s v="Female"/>
    <x v="505"/>
    <x v="1"/>
    <x v="0"/>
    <x v="12"/>
    <x v="0"/>
    <s v="East"/>
    <n v="2180"/>
    <n v="26160"/>
    <n v="5"/>
    <s v="HIGH"/>
    <n v="3"/>
    <n v="0"/>
    <n v="0"/>
  </r>
  <r>
    <n v="638"/>
    <s v="Mari"/>
    <s v="Ayuwb"/>
    <s v="MariAyuwb"/>
    <s v="Female"/>
    <x v="506"/>
    <x v="5"/>
    <x v="1"/>
    <x v="15"/>
    <x v="0"/>
    <s v="North"/>
    <n v="943"/>
    <n v="11316"/>
    <n v="5"/>
    <s v="HIGH"/>
    <n v="0"/>
    <n v="4"/>
    <n v="7"/>
  </r>
  <r>
    <n v="639"/>
    <s v="Omar"/>
    <s v="Shawqi"/>
    <s v="OmarShawqi"/>
    <s v="Male"/>
    <x v="119"/>
    <x v="3"/>
    <x v="0"/>
    <x v="1"/>
    <x v="0"/>
    <s v="Main"/>
    <n v="2489"/>
    <n v="29868"/>
    <n v="3"/>
    <s v="MEDIUM"/>
    <n v="6"/>
    <n v="0"/>
    <n v="3"/>
  </r>
  <r>
    <n v="640"/>
    <s v="Tariq"/>
    <s v="Aldhahabi"/>
    <s v="TariqAldhahabi"/>
    <s v="Male"/>
    <x v="365"/>
    <x v="3"/>
    <x v="0"/>
    <x v="3"/>
    <x v="0"/>
    <s v="South"/>
    <n v="2279"/>
    <n v="27348"/>
    <n v="5"/>
    <s v="HIGH"/>
    <n v="0"/>
    <n v="0"/>
    <n v="4"/>
  </r>
  <r>
    <n v="641"/>
    <s v="Rama"/>
    <s v="Asead"/>
    <s v="RamaAsead"/>
    <s v="Female"/>
    <x v="507"/>
    <x v="0"/>
    <x v="0"/>
    <x v="12"/>
    <x v="1"/>
    <s v="Main"/>
    <n v="840"/>
    <n v="10080"/>
    <n v="3"/>
    <s v="MEDIUM"/>
    <n v="4"/>
    <n v="0"/>
    <n v="10"/>
  </r>
  <r>
    <n v="642"/>
    <s v="Ghayth"/>
    <s v="Eali"/>
    <s v="GhaythEali"/>
    <s v="Male"/>
    <x v="508"/>
    <x v="0"/>
    <x v="0"/>
    <x v="0"/>
    <x v="0"/>
    <s v="North"/>
    <n v="1601"/>
    <n v="19212"/>
    <n v="5"/>
    <s v="HIGH"/>
    <n v="0"/>
    <n v="0"/>
    <n v="3"/>
  </r>
  <r>
    <n v="643"/>
    <s v="Mahir"/>
    <s v="Eabuwd"/>
    <s v="MahirEabuwd"/>
    <s v="Male"/>
    <x v="509"/>
    <x v="0"/>
    <x v="0"/>
    <x v="5"/>
    <x v="0"/>
    <s v="North"/>
    <n v="1414"/>
    <n v="16968"/>
    <n v="5"/>
    <s v="HIGH"/>
    <n v="4"/>
    <n v="0"/>
    <n v="10"/>
  </r>
  <r>
    <n v="644"/>
    <s v="Muwmin"/>
    <s v="Almujahid"/>
    <s v="MuwminAlmujahid"/>
    <s v="Male"/>
    <x v="510"/>
    <x v="3"/>
    <x v="0"/>
    <x v="7"/>
    <x v="2"/>
    <s v="North"/>
    <n v="905"/>
    <n v="10860"/>
    <n v="3"/>
    <s v="MEDIUM"/>
    <n v="0"/>
    <n v="0"/>
    <n v="8"/>
  </r>
  <r>
    <n v="645"/>
    <s v="Dima"/>
    <s v="Drwysh"/>
    <s v="DimaDrwysh"/>
    <s v="Female"/>
    <x v="464"/>
    <x v="3"/>
    <x v="0"/>
    <x v="8"/>
    <x v="2"/>
    <s v="North"/>
    <n v="2525"/>
    <n v="30300"/>
    <n v="3"/>
    <s v="MEDIUM"/>
    <n v="0"/>
    <n v="0"/>
    <n v="10"/>
  </r>
  <r>
    <n v="646"/>
    <s v="Muhamad"/>
    <s v="Khalid"/>
    <s v="MuhamadKhalid"/>
    <s v="Male"/>
    <x v="511"/>
    <x v="0"/>
    <x v="0"/>
    <x v="4"/>
    <x v="0"/>
    <s v="North"/>
    <n v="1412"/>
    <n v="16944"/>
    <n v="2"/>
    <s v="LOW"/>
    <n v="0"/>
    <n v="0"/>
    <n v="7"/>
  </r>
  <r>
    <n v="647"/>
    <s v="Diea"/>
    <s v="Filyun"/>
    <s v="DieaFilyun"/>
    <s v="Male"/>
    <x v="474"/>
    <x v="3"/>
    <x v="0"/>
    <x v="2"/>
    <x v="3"/>
    <s v="Main"/>
    <n v="2397"/>
    <n v="28764"/>
    <n v="3"/>
    <s v="MEDIUM"/>
    <n v="0"/>
    <n v="0"/>
    <n v="100"/>
  </r>
  <r>
    <n v="648"/>
    <s v="Muhamad"/>
    <s v="Tasbihji"/>
    <s v="MuhamadTasbihji"/>
    <s v="Male"/>
    <x v="512"/>
    <x v="1"/>
    <x v="0"/>
    <x v="5"/>
    <x v="0"/>
    <s v="North"/>
    <n v="1153"/>
    <n v="13836"/>
    <n v="4.5"/>
    <s v="HIGH"/>
    <n v="0"/>
    <n v="2"/>
    <n v="10"/>
  </r>
  <r>
    <n v="649"/>
    <s v="Mazin"/>
    <s v="Shumut"/>
    <s v="MazinShumut"/>
    <s v="Male"/>
    <x v="492"/>
    <x v="2"/>
    <x v="1"/>
    <x v="5"/>
    <x v="0"/>
    <s v="North"/>
    <n v="2091"/>
    <n v="25092"/>
    <n v="2"/>
    <s v="LOW"/>
    <n v="0"/>
    <n v="0"/>
    <n v="6"/>
  </r>
  <r>
    <n v="650"/>
    <s v="Omar"/>
    <s v="Zaqzuq"/>
    <s v="OmarZaqzuq"/>
    <s v="Male"/>
    <x v="513"/>
    <x v="1"/>
    <x v="0"/>
    <x v="2"/>
    <x v="2"/>
    <s v="West"/>
    <n v="1444"/>
    <n v="17328"/>
    <n v="5"/>
    <s v="HIGH"/>
    <n v="3"/>
    <n v="0"/>
    <n v="7"/>
  </r>
  <r>
    <n v="651"/>
    <s v="Yasmin"/>
    <s v="Eamir"/>
    <s v="YasminEamir"/>
    <s v="Female"/>
    <x v="514"/>
    <x v="5"/>
    <x v="1"/>
    <x v="2"/>
    <x v="0"/>
    <s v="North"/>
    <n v="2360"/>
    <n v="28320"/>
    <n v="4.5"/>
    <s v="HIGH"/>
    <n v="0"/>
    <n v="0"/>
    <n v="1"/>
  </r>
  <r>
    <n v="652"/>
    <s v="Muhamad"/>
    <s v="Haydar"/>
    <s v="MuhamadHaydar"/>
    <s v="Male"/>
    <x v="515"/>
    <x v="1"/>
    <x v="0"/>
    <x v="8"/>
    <x v="2"/>
    <s v="North"/>
    <n v="2576"/>
    <n v="30912"/>
    <n v="1"/>
    <s v="LOW"/>
    <n v="6"/>
    <n v="0"/>
    <n v="6"/>
  </r>
  <r>
    <n v="653"/>
    <s v="Muhamad"/>
    <s v="Ratib"/>
    <s v="MuhamadRatib"/>
    <s v="Male"/>
    <x v="96"/>
    <x v="3"/>
    <x v="0"/>
    <x v="5"/>
    <x v="0"/>
    <s v="Main"/>
    <n v="2376"/>
    <n v="28512"/>
    <n v="2"/>
    <s v="LOW"/>
    <n v="6"/>
    <n v="0"/>
    <n v="57"/>
  </r>
  <r>
    <n v="654"/>
    <s v="Muayid"/>
    <s v="Siedih"/>
    <s v="MuayidSiedih"/>
    <s v="Male"/>
    <x v="516"/>
    <x v="3"/>
    <x v="0"/>
    <x v="8"/>
    <x v="2"/>
    <s v="North"/>
    <n v="2924"/>
    <n v="35088"/>
    <n v="4.5"/>
    <s v="HIGH"/>
    <n v="0"/>
    <n v="0"/>
    <n v="10"/>
  </r>
  <r>
    <n v="655"/>
    <s v="Husam"/>
    <s v="Alhamd"/>
    <s v="HusamAlhamd"/>
    <s v="Male"/>
    <x v="517"/>
    <x v="5"/>
    <x v="1"/>
    <x v="12"/>
    <x v="1"/>
    <s v="West"/>
    <n v="2548"/>
    <n v="30576"/>
    <n v="1"/>
    <s v="LOW"/>
    <n v="0"/>
    <n v="0"/>
    <n v="10"/>
  </r>
  <r>
    <n v="656"/>
    <s v="Abdalkrim"/>
    <s v="Fadal"/>
    <s v="AbdalkrimFadal"/>
    <s v="Male"/>
    <x v="518"/>
    <x v="3"/>
    <x v="0"/>
    <x v="5"/>
    <x v="1"/>
    <s v="South"/>
    <n v="841"/>
    <n v="10092"/>
    <n v="1"/>
    <s v="LOW"/>
    <n v="4"/>
    <n v="0"/>
    <n v="7"/>
  </r>
  <r>
    <n v="657"/>
    <s v="Bayan"/>
    <s v="Eurnus"/>
    <s v="BayanEurnus"/>
    <s v="Female"/>
    <x v="379"/>
    <x v="1"/>
    <x v="0"/>
    <x v="2"/>
    <x v="0"/>
    <s v="North"/>
    <n v="3017"/>
    <n v="36204"/>
    <n v="3"/>
    <s v="MEDIUM"/>
    <n v="0"/>
    <n v="0"/>
    <n v="6"/>
  </r>
  <r>
    <n v="658"/>
    <s v="Abd Almueiyn"/>
    <s v="Eitaya"/>
    <s v="Abd AlmueiynEitaya"/>
    <s v="Male"/>
    <x v="519"/>
    <x v="2"/>
    <x v="1"/>
    <x v="8"/>
    <x v="2"/>
    <s v="North"/>
    <n v="1077"/>
    <n v="12924"/>
    <n v="5"/>
    <s v="HIGH"/>
    <n v="0"/>
    <n v="0"/>
    <n v="9"/>
  </r>
  <r>
    <n v="659"/>
    <s v="Sahar"/>
    <s v="Qisam"/>
    <s v="SaharQisam"/>
    <s v="Female"/>
    <x v="520"/>
    <x v="0"/>
    <x v="0"/>
    <x v="9"/>
    <x v="0"/>
    <s v="South"/>
    <n v="3316"/>
    <n v="39792"/>
    <n v="4.5"/>
    <s v="HIGH"/>
    <n v="0"/>
    <n v="0"/>
    <n v="8"/>
  </r>
  <r>
    <n v="660"/>
    <s v="Rafat"/>
    <s v="Musaa"/>
    <s v="RafatMusaa"/>
    <s v="Male"/>
    <x v="521"/>
    <x v="0"/>
    <x v="0"/>
    <x v="15"/>
    <x v="3"/>
    <s v="South"/>
    <n v="2188"/>
    <n v="26256"/>
    <n v="4.5"/>
    <s v="HIGH"/>
    <n v="5"/>
    <n v="0"/>
    <n v="9"/>
  </r>
  <r>
    <n v="661"/>
    <s v="Shafiq"/>
    <s v="Almalih"/>
    <s v="ShafiqAlmalih"/>
    <s v="Male"/>
    <x v="345"/>
    <x v="0"/>
    <x v="0"/>
    <x v="15"/>
    <x v="2"/>
    <s v="South"/>
    <n v="1684"/>
    <n v="20208"/>
    <n v="5"/>
    <s v="HIGH"/>
    <n v="0"/>
    <n v="0"/>
    <n v="6"/>
  </r>
  <r>
    <n v="662"/>
    <s v="Raghad"/>
    <s v="Aghasi"/>
    <s v="RaghadAghasi"/>
    <s v="Female"/>
    <x v="22"/>
    <x v="3"/>
    <x v="0"/>
    <x v="5"/>
    <x v="0"/>
    <s v="Main"/>
    <n v="716"/>
    <n v="8592"/>
    <n v="3"/>
    <s v="MEDIUM"/>
    <n v="0"/>
    <n v="0"/>
    <n v="8"/>
  </r>
  <r>
    <n v="663"/>
    <s v="Ruba"/>
    <s v="Alhumwi"/>
    <s v="RubaAlhumwi"/>
    <s v="Female"/>
    <x v="31"/>
    <x v="3"/>
    <x v="0"/>
    <x v="2"/>
    <x v="0"/>
    <s v="North"/>
    <n v="2703"/>
    <n v="32436"/>
    <n v="2"/>
    <s v="LOW"/>
    <n v="0"/>
    <n v="0"/>
    <n v="4"/>
  </r>
  <r>
    <n v="664"/>
    <s v="Bilal"/>
    <s v="Alqalish"/>
    <s v="BilalAlqalish"/>
    <s v="Male"/>
    <x v="423"/>
    <x v="0"/>
    <x v="0"/>
    <x v="10"/>
    <x v="0"/>
    <s v="East"/>
    <n v="2361"/>
    <n v="28332"/>
    <n v="5"/>
    <s v="HIGH"/>
    <n v="0"/>
    <n v="0"/>
    <n v="1"/>
  </r>
  <r>
    <n v="665"/>
    <s v="Muhamad"/>
    <s v="Almisri"/>
    <s v="MuhamadAlmisri"/>
    <s v="Male"/>
    <x v="184"/>
    <x v="1"/>
    <x v="0"/>
    <x v="2"/>
    <x v="0"/>
    <s v="Main"/>
    <n v="1797"/>
    <n v="21564"/>
    <n v="1"/>
    <s v="LOW"/>
    <n v="6"/>
    <n v="0"/>
    <n v="7"/>
  </r>
  <r>
    <n v="666"/>
    <s v="Husayn"/>
    <s v="Hawria"/>
    <s v="HusaynHawria"/>
    <s v="Male"/>
    <x v="522"/>
    <x v="1"/>
    <x v="0"/>
    <x v="14"/>
    <x v="0"/>
    <s v="East"/>
    <n v="2252"/>
    <n v="27024"/>
    <n v="3"/>
    <s v="MEDIUM"/>
    <n v="0"/>
    <n v="0"/>
    <n v="2"/>
  </r>
  <r>
    <n v="667"/>
    <s v="Safa"/>
    <s v="Alshahadat"/>
    <s v="SafaAlshahadat"/>
    <s v="Female"/>
    <x v="523"/>
    <x v="0"/>
    <x v="0"/>
    <x v="2"/>
    <x v="0"/>
    <s v="North"/>
    <n v="2486"/>
    <n v="29832"/>
    <n v="5"/>
    <s v="HIGH"/>
    <n v="5"/>
    <n v="2"/>
    <n v="9"/>
  </r>
  <r>
    <n v="668"/>
    <s v="Ahmad"/>
    <s v="Aldiyk"/>
    <s v="AhmadAldiyk"/>
    <s v="Male"/>
    <x v="522"/>
    <x v="1"/>
    <x v="0"/>
    <x v="2"/>
    <x v="0"/>
    <s v="North"/>
    <n v="1197"/>
    <n v="14364"/>
    <n v="2"/>
    <s v="LOW"/>
    <n v="4"/>
    <n v="0"/>
    <n v="8"/>
  </r>
  <r>
    <n v="669"/>
    <s v="Hind"/>
    <s v="Almueasaeas"/>
    <s v="HindAlmueasaeas"/>
    <s v="Female"/>
    <x v="524"/>
    <x v="3"/>
    <x v="0"/>
    <x v="8"/>
    <x v="1"/>
    <s v="North"/>
    <n v="3389"/>
    <n v="40668"/>
    <n v="3"/>
    <s v="MEDIUM"/>
    <n v="1"/>
    <n v="0"/>
    <n v="7"/>
  </r>
  <r>
    <n v="670"/>
    <s v="Dania"/>
    <s v="Earmush"/>
    <s v="DaniaEarmush"/>
    <s v="Female"/>
    <x v="258"/>
    <x v="3"/>
    <x v="0"/>
    <x v="3"/>
    <x v="2"/>
    <s v="Main"/>
    <n v="2760"/>
    <n v="33120"/>
    <n v="1"/>
    <s v="LOW"/>
    <n v="6"/>
    <n v="6"/>
    <n v="1"/>
  </r>
  <r>
    <n v="671"/>
    <s v="Ayly"/>
    <s v="Bahriin"/>
    <s v="AylyBahriin"/>
    <s v="Male"/>
    <x v="525"/>
    <x v="2"/>
    <x v="1"/>
    <x v="13"/>
    <x v="1"/>
    <s v="Main"/>
    <n v="1232"/>
    <n v="14784"/>
    <n v="5"/>
    <s v="HIGH"/>
    <n v="3"/>
    <n v="0"/>
    <n v="10"/>
  </r>
  <r>
    <n v="672"/>
    <s v="Jihan"/>
    <s v="Nadir"/>
    <s v="JihanNadir"/>
    <s v="Female"/>
    <x v="526"/>
    <x v="3"/>
    <x v="0"/>
    <x v="8"/>
    <x v="2"/>
    <s v="North"/>
    <n v="1045"/>
    <n v="12540"/>
    <n v="5"/>
    <s v="HIGH"/>
    <n v="6"/>
    <n v="0"/>
    <n v="4"/>
  </r>
  <r>
    <n v="673"/>
    <s v="Muhamad"/>
    <s v="Sharif Aldaghly"/>
    <s v="MuhamadSharif Aldaghly"/>
    <s v="Male"/>
    <x v="527"/>
    <x v="2"/>
    <x v="1"/>
    <x v="7"/>
    <x v="0"/>
    <s v="West"/>
    <n v="3257"/>
    <n v="39084"/>
    <n v="3"/>
    <s v="MEDIUM"/>
    <n v="0"/>
    <n v="0"/>
    <n v="6"/>
  </r>
  <r>
    <n v="674"/>
    <s v="Emara"/>
    <s v="bwalsibae"/>
    <s v="Emarabwalsibae"/>
    <s v="Female"/>
    <x v="528"/>
    <x v="2"/>
    <x v="1"/>
    <x v="8"/>
    <x v="0"/>
    <s v="South"/>
    <n v="3026"/>
    <n v="36312"/>
    <n v="3"/>
    <s v="MEDIUM"/>
    <n v="4"/>
    <n v="0"/>
    <n v="1"/>
  </r>
  <r>
    <n v="675"/>
    <s v="Razzan"/>
    <s v="Alhusayni"/>
    <s v="RazzanAlhusayni"/>
    <s v="Female"/>
    <x v="529"/>
    <x v="3"/>
    <x v="0"/>
    <x v="12"/>
    <x v="0"/>
    <s v="North"/>
    <n v="1898"/>
    <n v="22776"/>
    <n v="4.5"/>
    <s v="HIGH"/>
    <n v="1"/>
    <n v="0"/>
    <n v="2"/>
  </r>
  <r>
    <n v="676"/>
    <s v="Ghassan"/>
    <s v="Aljamal"/>
    <s v="GhassanAljamal"/>
    <s v="Male"/>
    <x v="226"/>
    <x v="0"/>
    <x v="0"/>
    <x v="2"/>
    <x v="0"/>
    <s v="South"/>
    <n v="2778"/>
    <n v="33336"/>
    <n v="3"/>
    <s v="MEDIUM"/>
    <n v="2"/>
    <n v="0"/>
    <n v="20"/>
  </r>
  <r>
    <n v="677"/>
    <s v="Omar"/>
    <s v="Kahulus"/>
    <s v="OmarKahulus"/>
    <s v="Male"/>
    <x v="527"/>
    <x v="2"/>
    <x v="1"/>
    <x v="12"/>
    <x v="3"/>
    <s v="North"/>
    <n v="2880"/>
    <n v="34560"/>
    <n v="2"/>
    <s v="LOW"/>
    <n v="4"/>
    <n v="0"/>
    <n v="5"/>
  </r>
  <r>
    <n v="678"/>
    <s v="Amjad"/>
    <s v="Nasir"/>
    <s v="AmjadNasir"/>
    <s v="Male"/>
    <x v="530"/>
    <x v="0"/>
    <x v="0"/>
    <x v="19"/>
    <x v="1"/>
    <s v="Main"/>
    <n v="2815"/>
    <n v="33780"/>
    <n v="3"/>
    <s v="MEDIUM"/>
    <n v="6"/>
    <n v="0"/>
    <n v="2"/>
  </r>
  <r>
    <n v="679"/>
    <s v="Iman"/>
    <s v="Ghrz Aldiyn"/>
    <s v="ImanGhrz Aldiyn"/>
    <s v="Female"/>
    <x v="531"/>
    <x v="0"/>
    <x v="0"/>
    <x v="6"/>
    <x v="3"/>
    <s v="East"/>
    <n v="1134"/>
    <n v="13608"/>
    <n v="2"/>
    <s v="LOW"/>
    <n v="0"/>
    <n v="0"/>
    <n v="14"/>
  </r>
  <r>
    <n v="680"/>
    <s v="Alysia"/>
    <s v="Alyaghshiu"/>
    <s v="AlysiaAlyaghshiu"/>
    <s v="Female"/>
    <x v="532"/>
    <x v="3"/>
    <x v="0"/>
    <x v="11"/>
    <x v="2"/>
    <s v="West"/>
    <n v="3334"/>
    <n v="40008"/>
    <n v="1"/>
    <s v="LOW"/>
    <n v="0"/>
    <n v="0"/>
    <n v="4"/>
  </r>
  <r>
    <n v="681"/>
    <s v="Ayham"/>
    <s v="Alqadi"/>
    <s v="AyhamAlqadi"/>
    <s v="Male"/>
    <x v="533"/>
    <x v="1"/>
    <x v="0"/>
    <x v="2"/>
    <x v="3"/>
    <s v="East"/>
    <n v="2574"/>
    <n v="30888"/>
    <n v="3"/>
    <s v="MEDIUM"/>
    <n v="3"/>
    <n v="0"/>
    <n v="4"/>
  </r>
  <r>
    <n v="682"/>
    <s v="Diea"/>
    <s v="Shuelan"/>
    <s v="DieaShuelan"/>
    <s v="Male"/>
    <x v="27"/>
    <x v="0"/>
    <x v="0"/>
    <x v="2"/>
    <x v="0"/>
    <s v="West"/>
    <n v="1123"/>
    <n v="13476"/>
    <n v="1"/>
    <s v="LOW"/>
    <n v="0"/>
    <n v="0"/>
    <n v="7"/>
  </r>
  <r>
    <n v="683"/>
    <s v="Husam"/>
    <s v="Alsaed"/>
    <s v="HusamAlsaed"/>
    <s v="Male"/>
    <x v="534"/>
    <x v="5"/>
    <x v="1"/>
    <x v="5"/>
    <x v="2"/>
    <s v="Main"/>
    <n v="2147"/>
    <n v="25764"/>
    <n v="3"/>
    <s v="MEDIUM"/>
    <n v="0"/>
    <n v="4"/>
    <n v="2"/>
  </r>
  <r>
    <n v="684"/>
    <s v="Asd"/>
    <s v="Bwfaeur"/>
    <s v="AsdBwfaeur"/>
    <s v="Male"/>
    <x v="535"/>
    <x v="2"/>
    <x v="1"/>
    <x v="7"/>
    <x v="0"/>
    <s v="Main"/>
    <n v="2929"/>
    <n v="35148"/>
    <n v="4.5"/>
    <s v="HIGH"/>
    <n v="0"/>
    <n v="0"/>
    <n v="2"/>
  </r>
  <r>
    <n v="685"/>
    <s v="Sari"/>
    <s v="Hanna"/>
    <s v="SariHanna"/>
    <s v="Male"/>
    <x v="536"/>
    <x v="1"/>
    <x v="0"/>
    <x v="9"/>
    <x v="4"/>
    <s v="South"/>
    <n v="1452"/>
    <n v="17424"/>
    <n v="2"/>
    <s v="LOW"/>
    <n v="0"/>
    <n v="3"/>
    <n v="1"/>
  </r>
  <r>
    <n v="686"/>
    <s v="Eubayda"/>
    <s v="Kayd"/>
    <s v="EubaydaKayd"/>
    <s v="Male"/>
    <x v="537"/>
    <x v="1"/>
    <x v="0"/>
    <x v="8"/>
    <x v="0"/>
    <s v="North"/>
    <n v="3237"/>
    <n v="38844"/>
    <n v="3"/>
    <s v="MEDIUM"/>
    <n v="1"/>
    <n v="0"/>
    <n v="4"/>
  </r>
  <r>
    <n v="687"/>
    <s v="Khalil"/>
    <s v="Alkalu"/>
    <s v="KhalilAlkalu"/>
    <s v="Male"/>
    <x v="156"/>
    <x v="2"/>
    <x v="1"/>
    <x v="8"/>
    <x v="0"/>
    <s v="North"/>
    <n v="2819"/>
    <n v="33828"/>
    <n v="5"/>
    <s v="HIGH"/>
    <n v="0"/>
    <n v="0"/>
    <n v="0"/>
  </r>
  <r>
    <n v="688"/>
    <s v="Muhamad"/>
    <s v="Shrbjy"/>
    <s v="MuhamadShrbjy"/>
    <s v="Male"/>
    <x v="169"/>
    <x v="0"/>
    <x v="0"/>
    <x v="15"/>
    <x v="0"/>
    <s v="North"/>
    <n v="2069"/>
    <n v="24828"/>
    <n v="3"/>
    <s v="MEDIUM"/>
    <n v="0"/>
    <n v="0"/>
    <n v="10"/>
  </r>
  <r>
    <n v="689"/>
    <s v="Abd Albasit"/>
    <s v="AlAhmar"/>
    <s v="Abd AlbasitAlAhmar"/>
    <s v="Male"/>
    <x v="538"/>
    <x v="1"/>
    <x v="0"/>
    <x v="7"/>
    <x v="2"/>
    <s v="North"/>
    <n v="2606"/>
    <n v="31272"/>
    <n v="5"/>
    <s v="HIGH"/>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5BDA87-E263-4F9F-B71A-A0AC33D6CD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B56" firstHeaderRow="1" firstDataRow="1" firstDataCol="1"/>
  <pivotFields count="21">
    <pivotField showAll="0"/>
    <pivotField showAll="0"/>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numFmtId="1" showAll="0"/>
    <pivotField showAll="0">
      <items count="3">
        <item x="1"/>
        <item x="0"/>
        <item t="default"/>
      </items>
    </pivotField>
    <pivotField axis="axisRow" showAll="0">
      <items count="21">
        <item x="5"/>
        <item x="15"/>
        <item x="14"/>
        <item x="17"/>
        <item x="8"/>
        <item x="6"/>
        <item x="18"/>
        <item x="7"/>
        <item x="1"/>
        <item x="2"/>
        <item x="10"/>
        <item x="9"/>
        <item x="3"/>
        <item x="13"/>
        <item x="12"/>
        <item x="0"/>
        <item x="19"/>
        <item x="16"/>
        <item x="4"/>
        <item x="11"/>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Monthly Salary" fld="11" subtotal="average" baseField="0" baseItem="0"/>
  </dataFields>
  <formats count="2">
    <format dxfId="3">
      <pivotArea collapsedLevelsAreSubtotals="1" fieldPosition="0">
        <references count="1">
          <reference field="8" count="0"/>
        </references>
      </pivotArea>
    </format>
    <format dxfId="2">
      <pivotArea grandRow="1"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A5C821-5BF6-4F0A-AA52-42EC762FE8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4" firstHeaderRow="1" firstDataRow="1" firstDataCol="1"/>
  <pivotFields count="21">
    <pivotField dataField="1" showAll="0"/>
    <pivotField showAll="0"/>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numFmtId="1" showAll="0"/>
    <pivotField showAll="0">
      <items count="3">
        <item x="1"/>
        <item x="0"/>
        <item t="default"/>
      </items>
    </pivotField>
    <pivotField axis="axisRow" showAll="0">
      <items count="21">
        <item x="5"/>
        <item x="15"/>
        <item x="14"/>
        <item x="17"/>
        <item x="8"/>
        <item x="6"/>
        <item x="18"/>
        <item x="7"/>
        <item x="1"/>
        <item x="2"/>
        <item x="10"/>
        <item x="9"/>
        <item x="3"/>
        <item x="13"/>
        <item x="12"/>
        <item x="0"/>
        <item x="19"/>
        <item x="16"/>
        <item x="4"/>
        <item x="1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No" fld="0" subtotal="count"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9"/>
          </reference>
        </references>
      </pivotArea>
    </chartFormat>
    <chartFormat chart="4" format="4">
      <pivotArea type="data" outline="0" fieldPosition="0">
        <references count="2">
          <reference field="4294967294" count="1" selected="0">
            <x v="0"/>
          </reference>
          <reference field="8" count="1" selected="0">
            <x v="11"/>
          </reference>
        </references>
      </pivotArea>
    </chartFormat>
    <chartFormat chart="4" format="5">
      <pivotArea type="data" outline="0" fieldPosition="0">
        <references count="2">
          <reference field="4294967294" count="1" selected="0">
            <x v="0"/>
          </reference>
          <reference field="8" count="1" selected="0">
            <x v="12"/>
          </reference>
        </references>
      </pivotArea>
    </chartFormat>
    <chartFormat chart="4" format="6">
      <pivotArea type="data" outline="0" fieldPosition="0">
        <references count="2">
          <reference field="4294967294" count="1" selected="0">
            <x v="0"/>
          </reference>
          <reference field="8" count="1" selected="0">
            <x v="14"/>
          </reference>
        </references>
      </pivotArea>
    </chartFormat>
    <chartFormat chart="4" format="7">
      <pivotArea type="data" outline="0" fieldPosition="0">
        <references count="2">
          <reference field="4294967294" count="1" selected="0">
            <x v="0"/>
          </reference>
          <reference field="8"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6533ED-9979-4ACB-8E32-6963A5248A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03:G109" firstHeaderRow="1" firstDataRow="1" firstDataCol="1"/>
  <pivotFields count="21">
    <pivotField dataField="1" showAll="0"/>
    <pivotField showAll="0"/>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numFmtId="1" showAll="0">
      <items count="7">
        <item x="1"/>
        <item x="3"/>
        <item x="0"/>
        <item x="2"/>
        <item x="5"/>
        <item x="4"/>
        <item t="default"/>
      </items>
    </pivotField>
    <pivotField showAll="0">
      <items count="3">
        <item x="1"/>
        <item x="0"/>
        <item t="default"/>
      </items>
    </pivotField>
    <pivotField showAll="0">
      <items count="21">
        <item x="5"/>
        <item x="15"/>
        <item x="14"/>
        <item x="17"/>
        <item x="8"/>
        <item x="6"/>
        <item x="18"/>
        <item x="7"/>
        <item x="1"/>
        <item x="2"/>
        <item x="10"/>
        <item x="9"/>
        <item x="3"/>
        <item x="13"/>
        <item x="12"/>
        <item x="0"/>
        <item x="19"/>
        <item x="16"/>
        <item x="4"/>
        <item x="11"/>
        <item t="default"/>
      </items>
    </pivotField>
    <pivotField axis="axisRow" showAll="0">
      <items count="6">
        <item x="0"/>
        <item x="4"/>
        <item x="1"/>
        <item x="3"/>
        <item x="2"/>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8">
        <item x="0"/>
        <item sd="0" x="1"/>
        <item sd="0" x="2"/>
        <item sd="0" x="3"/>
        <item sd="0" x="4"/>
        <item sd="0" x="5"/>
        <item x="6"/>
        <item t="default"/>
      </items>
    </pivotField>
  </pivotFields>
  <rowFields count="1">
    <field x="9"/>
  </rowFields>
  <rowItems count="6">
    <i>
      <x/>
    </i>
    <i>
      <x v="1"/>
    </i>
    <i>
      <x v="2"/>
    </i>
    <i>
      <x v="3"/>
    </i>
    <i>
      <x v="4"/>
    </i>
    <i t="grand">
      <x/>
    </i>
  </rowItems>
  <colItems count="1">
    <i/>
  </colItems>
  <dataFields count="1">
    <dataField name="Count of No" fld="0" subtotal="count" baseField="0" baseItem="0"/>
  </dataFields>
  <formats count="1">
    <format dxfId="4">
      <pivotArea grandRow="1"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4"/>
          </reference>
        </references>
      </pivotArea>
    </chartFormat>
    <chartFormat chart="9" format="2">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1313A6-CB6B-4013-8BC7-E17167BB1D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4:B100" firstHeaderRow="1" firstDataRow="1" firstDataCol="1"/>
  <pivotFields count="21">
    <pivotField dataField="1" showAll="0"/>
    <pivotField showAll="0"/>
    <pivotField showAll="0"/>
    <pivotField showAll="0"/>
    <pivotField showAll="0"/>
    <pivotField axis="axisRow"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numFmtId="1" showAll="0">
      <items count="7">
        <item x="1"/>
        <item x="3"/>
        <item x="0"/>
        <item x="2"/>
        <item x="5"/>
        <item x="4"/>
        <item t="default"/>
      </items>
    </pivotField>
    <pivotField showAll="0">
      <items count="3">
        <item x="1"/>
        <item x="0"/>
        <item t="default"/>
      </items>
    </pivotField>
    <pivotField showAll="0">
      <items count="21">
        <item x="5"/>
        <item x="15"/>
        <item x="14"/>
        <item x="17"/>
        <item x="8"/>
        <item x="6"/>
        <item x="18"/>
        <item x="7"/>
        <item x="1"/>
        <item x="2"/>
        <item x="10"/>
        <item x="9"/>
        <item x="3"/>
        <item x="13"/>
        <item x="12"/>
        <item x="0"/>
        <item x="19"/>
        <item x="16"/>
        <item x="4"/>
        <item x="11"/>
        <item t="default"/>
      </items>
    </pivotField>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items>
    </pivotField>
    <pivotField axis="axisRow" showAll="0">
      <items count="8">
        <item x="0"/>
        <item sd="0" x="1"/>
        <item sd="0" x="2"/>
        <item sd="0" x="3"/>
        <item sd="0" x="4"/>
        <item sd="0" x="5"/>
        <item x="6"/>
        <item t="default"/>
      </items>
    </pivotField>
  </pivotFields>
  <rowFields count="4">
    <field x="20"/>
    <field x="19"/>
    <field x="18"/>
    <field x="5"/>
  </rowFields>
  <rowItems count="6">
    <i>
      <x v="1"/>
    </i>
    <i>
      <x v="2"/>
    </i>
    <i>
      <x v="3"/>
    </i>
    <i>
      <x v="4"/>
    </i>
    <i>
      <x v="5"/>
    </i>
    <i t="grand">
      <x/>
    </i>
  </rowItems>
  <colItems count="1">
    <i/>
  </colItems>
  <dataFields count="1">
    <dataField name="Count of No" fld="0" subtotal="count" baseField="0" baseItem="0"/>
  </dataFields>
  <formats count="1">
    <format dxfId="5">
      <pivotArea grandRow="1"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0" count="1" selected="0">
            <x v="1"/>
          </reference>
        </references>
      </pivotArea>
    </chartFormat>
    <chartFormat chart="7" format="2">
      <pivotArea type="data" outline="0" fieldPosition="0">
        <references count="2">
          <reference field="4294967294" count="1" selected="0">
            <x v="0"/>
          </reference>
          <reference field="20" count="1" selected="0">
            <x v="2"/>
          </reference>
        </references>
      </pivotArea>
    </chartFormat>
    <chartFormat chart="7" format="3">
      <pivotArea type="data" outline="0" fieldPosition="0">
        <references count="2">
          <reference field="4294967294" count="1" selected="0">
            <x v="0"/>
          </reference>
          <reference field="20" count="1" selected="0">
            <x v="3"/>
          </reference>
        </references>
      </pivotArea>
    </chartFormat>
    <chartFormat chart="7" format="4">
      <pivotArea type="data" outline="0" fieldPosition="0">
        <references count="2">
          <reference field="4294967294" count="1" selected="0">
            <x v="0"/>
          </reference>
          <reference field="20" count="1" selected="0">
            <x v="4"/>
          </reference>
        </references>
      </pivotArea>
    </chartFormat>
    <chartFormat chart="7" format="5">
      <pivotArea type="data" outline="0" fieldPosition="0">
        <references count="2">
          <reference field="4294967294" count="1" selected="0">
            <x v="0"/>
          </reference>
          <reference field="2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02A62B-54C1-4D5B-A199-C9C4D39A32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5:B86" firstHeaderRow="1" firstDataRow="1" firstDataCol="1"/>
  <pivotFields count="21">
    <pivotField showAll="0"/>
    <pivotField showAll="0"/>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numFmtId="1" showAll="0"/>
    <pivotField showAll="0">
      <items count="3">
        <item x="1"/>
        <item x="0"/>
        <item t="default"/>
      </items>
    </pivotField>
    <pivotField axis="axisRow" showAll="0">
      <items count="21">
        <item x="5"/>
        <item x="15"/>
        <item x="14"/>
        <item x="17"/>
        <item x="8"/>
        <item x="6"/>
        <item x="18"/>
        <item x="7"/>
        <item x="1"/>
        <item x="2"/>
        <item x="10"/>
        <item x="9"/>
        <item x="3"/>
        <item x="13"/>
        <item x="12"/>
        <item x="0"/>
        <item x="19"/>
        <item x="16"/>
        <item x="4"/>
        <item x="11"/>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Job Rate" fld="13" subtotal="average" baseField="0" baseItem="0"/>
  </dataFields>
  <formats count="2">
    <format dxfId="7">
      <pivotArea collapsedLevelsAreSubtotals="1" fieldPosition="0">
        <references count="1">
          <reference field="8" count="0"/>
        </references>
      </pivotArea>
    </format>
    <format dxfId="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BE24DDC-41B1-4FCB-816B-F0507797B7EA}" sourceName="Department">
  <pivotTables>
    <pivotTable tabId="3" name="PivotTable2"/>
    <pivotTable tabId="3" name="PivotTable3"/>
    <pivotTable tabId="3" name="PivotTable4"/>
    <pivotTable tabId="3" name="PivotTable5"/>
  </pivotTables>
  <data>
    <tabular pivotCacheId="1157289162">
      <items count="20">
        <i x="5" s="1"/>
        <i x="15" s="1"/>
        <i x="14" s="1"/>
        <i x="17" s="1"/>
        <i x="8" s="1"/>
        <i x="6" s="1"/>
        <i x="18" s="1"/>
        <i x="7" s="1"/>
        <i x="1" s="1"/>
        <i x="2" s="1"/>
        <i x="10" s="1"/>
        <i x="9" s="1"/>
        <i x="3" s="1"/>
        <i x="13" s="1"/>
        <i x="12" s="1"/>
        <i x="0" s="1"/>
        <i x="19" s="1"/>
        <i x="16" s="1"/>
        <i x="4"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06C49D1-E889-464D-9D97-7647C6DC14F2}" cache="Slicer_Department" caption="Departm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C8A4C-7242-234C-83AB-9FD3B51B58AF}" name="EmpTable" displayName="EmpTable" ref="A1:R690" totalsRowShown="0">
  <autoFilter ref="A1:R690" xr:uid="{F0BB8BD9-6B21-9241-BFB1-43DF95574CE6}"/>
  <tableColumns count="18">
    <tableColumn id="1" xr3:uid="{5E31E93A-4EA6-E345-8950-8B5E4A2187D2}" name="No"/>
    <tableColumn id="2" xr3:uid="{02D748DA-BEDD-D64D-8FDF-FA0EE538A622}" name="First Name"/>
    <tableColumn id="3" xr3:uid="{23F60127-C110-4642-8435-EA4863B156A3}" name="Last Name"/>
    <tableColumn id="8" xr3:uid="{28F50AD9-2E93-4F49-B44D-F10445D84FF7}" name="Full Name" dataDxfId="19">
      <calculatedColumnFormula>_xlfn.CONCAT(EmpTable[[#This Row],[First Name]],EmpTable[[#This Row],[Last Name]])</calculatedColumnFormula>
    </tableColumn>
    <tableColumn id="4" xr3:uid="{CCDFDBE7-00A9-F146-8F92-0D1EE7741E79}" name="Gender"/>
    <tableColumn id="5" xr3:uid="{6CAC73C9-3F05-2941-A60F-90AAFD89CF78}" name="Start Date" dataDxfId="18"/>
    <tableColumn id="16" xr3:uid="{A8E83AF7-43E0-794D-B44C-A99657E843DB}" name="Years" dataDxfId="17">
      <calculatedColumnFormula>DATEDIF(EmpTable[[#This Row],[Start Date]],TODAY(),"Y")</calculatedColumnFormula>
    </tableColumn>
    <tableColumn id="17" xr3:uid="{A7E50752-2417-42FD-B73B-CA321D5C1955}" name="Position " dataDxfId="16">
      <calculatedColumnFormula array="1">_xlfn.IFS(G2&lt;=1,"Fresh",G2&lt;=3,"Junior",G2&lt;=7,"Teamlead",G2&gt;=7,"manger")</calculatedColumnFormula>
    </tableColumn>
    <tableColumn id="6" xr3:uid="{811C62B1-4966-2548-AA9A-36C50EE72FE1}" name="Department"/>
    <tableColumn id="9" xr3:uid="{5BDE0214-F5F8-CA43-B8E2-E3BED8BEC550}" name="Country" dataDxfId="15"/>
    <tableColumn id="7" xr3:uid="{2FDF82E5-F90E-A044-ABF0-1AB8B296FF1A}" name="Center"/>
    <tableColumn id="10" xr3:uid="{B5E8A300-4AD6-8244-B7BE-F2676388D695}" name="Monthly Salary" dataDxfId="14"/>
    <tableColumn id="15" xr3:uid="{6A00BC87-9264-6D4D-8574-7F80C9324BC9}" name="Annual Salary" dataDxfId="13"/>
    <tableColumn id="11" xr3:uid="{19FE5E57-EF01-384E-9F01-5ECD37CA0BED}" name="Job Rate" dataDxfId="12"/>
    <tableColumn id="18" xr3:uid="{0236EDB6-768B-4912-8812-F1F23492704B}" name="job rate calssification" dataDxfId="11">
      <calculatedColumnFormula array="1">_xlfn.IFS(EmpTable[[#This Row],[Job Rate]] &lt;=1,"LOW",N2&lt;=2,"LOW",N2&lt;=3,"MEDIUM",N2&gt;4,"HIGH")</calculatedColumnFormula>
    </tableColumn>
    <tableColumn id="12" xr3:uid="{AA6D8968-E3CA-4E4B-8119-22CC6B35AB93}" name="Sick Leaves" dataDxfId="10"/>
    <tableColumn id="13" xr3:uid="{66C613C7-C63C-CB44-95F3-35E932A4DC90}" name="Unpaid Leaves" dataDxfId="9"/>
    <tableColumn id="14" xr3:uid="{E402E1CE-B630-C245-8E66-ABCBD1AE7632}" name="Overtime Hours" dataDxfId="8"/>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830566-9085-47DF-8C0D-2BEA12D5A0DA}" name="Table9" displayName="Table9" ref="D6:E13" totalsRowShown="0">
  <autoFilter ref="D6:E13" xr:uid="{A6830566-9085-47DF-8C0D-2BEA12D5A0DA}"/>
  <tableColumns count="2">
    <tableColumn id="1" xr3:uid="{80406976-42C1-48E9-AFC9-EA1FBFF1F320}" name="Questions " dataDxfId="1"/>
    <tableColumn id="2" xr3:uid="{FB26028B-B476-434F-B3C6-9A27A31328EE}" name="Answers" dataDxfId="0">
      <calculatedColumnFormula>COUNTA(EmpTable[No])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ADA4D-B08A-4944-BBB4-AA91B7F11D1B}">
  <dimension ref="A3:G109"/>
  <sheetViews>
    <sheetView topLeftCell="A79" workbookViewId="0">
      <selection activeCell="K108" sqref="K108"/>
    </sheetView>
  </sheetViews>
  <sheetFormatPr defaultRowHeight="15.6" x14ac:dyDescent="0.3"/>
  <cols>
    <col min="1" max="1" width="12.296875" bestFit="1" customWidth="1"/>
    <col min="2" max="2" width="11.09765625" bestFit="1" customWidth="1"/>
    <col min="3" max="3" width="11.69921875" bestFit="1" customWidth="1"/>
    <col min="6" max="6" width="19.09765625" bestFit="1" customWidth="1"/>
    <col min="7" max="7" width="11.09765625" bestFit="1" customWidth="1"/>
  </cols>
  <sheetData>
    <row r="3" spans="1:2" x14ac:dyDescent="0.3">
      <c r="A3" s="5" t="s">
        <v>911</v>
      </c>
      <c r="B3" t="s">
        <v>913</v>
      </c>
    </row>
    <row r="4" spans="1:2" x14ac:dyDescent="0.3">
      <c r="A4" s="6" t="s">
        <v>41</v>
      </c>
      <c r="B4">
        <v>84</v>
      </c>
    </row>
    <row r="5" spans="1:2" x14ac:dyDescent="0.3">
      <c r="A5" s="6" t="s">
        <v>118</v>
      </c>
      <c r="B5">
        <v>19</v>
      </c>
    </row>
    <row r="6" spans="1:2" x14ac:dyDescent="0.3">
      <c r="A6" s="6" t="s">
        <v>93</v>
      </c>
      <c r="B6">
        <v>13</v>
      </c>
    </row>
    <row r="7" spans="1:2" x14ac:dyDescent="0.3">
      <c r="A7" s="6" t="s">
        <v>163</v>
      </c>
      <c r="B7">
        <v>9</v>
      </c>
    </row>
    <row r="8" spans="1:2" x14ac:dyDescent="0.3">
      <c r="A8" s="6" t="s">
        <v>53</v>
      </c>
      <c r="B8">
        <v>58</v>
      </c>
    </row>
    <row r="9" spans="1:2" x14ac:dyDescent="0.3">
      <c r="A9" s="6" t="s">
        <v>45</v>
      </c>
      <c r="B9">
        <v>8</v>
      </c>
    </row>
    <row r="10" spans="1:2" x14ac:dyDescent="0.3">
      <c r="A10" s="6" t="s">
        <v>200</v>
      </c>
      <c r="B10">
        <v>7</v>
      </c>
    </row>
    <row r="11" spans="1:2" x14ac:dyDescent="0.3">
      <c r="A11" s="6" t="s">
        <v>50</v>
      </c>
      <c r="B11">
        <v>40</v>
      </c>
    </row>
    <row r="12" spans="1:2" x14ac:dyDescent="0.3">
      <c r="A12" s="6" t="s">
        <v>25</v>
      </c>
      <c r="B12">
        <v>8</v>
      </c>
    </row>
    <row r="13" spans="1:2" x14ac:dyDescent="0.3">
      <c r="A13" s="6" t="s">
        <v>28</v>
      </c>
      <c r="B13">
        <v>140</v>
      </c>
    </row>
    <row r="14" spans="1:2" x14ac:dyDescent="0.3">
      <c r="A14" s="6" t="s">
        <v>73</v>
      </c>
      <c r="B14">
        <v>5</v>
      </c>
    </row>
    <row r="15" spans="1:2" x14ac:dyDescent="0.3">
      <c r="A15" s="6" t="s">
        <v>58</v>
      </c>
      <c r="B15">
        <v>48</v>
      </c>
    </row>
    <row r="16" spans="1:2" x14ac:dyDescent="0.3">
      <c r="A16" s="6" t="s">
        <v>35</v>
      </c>
      <c r="B16">
        <v>34</v>
      </c>
    </row>
    <row r="17" spans="1:2" x14ac:dyDescent="0.3">
      <c r="A17" s="6" t="s">
        <v>88</v>
      </c>
      <c r="B17">
        <v>14</v>
      </c>
    </row>
    <row r="18" spans="1:2" x14ac:dyDescent="0.3">
      <c r="A18" s="6" t="s">
        <v>77</v>
      </c>
      <c r="B18">
        <v>67</v>
      </c>
    </row>
    <row r="19" spans="1:2" x14ac:dyDescent="0.3">
      <c r="A19" s="6" t="s">
        <v>17</v>
      </c>
      <c r="B19">
        <v>89</v>
      </c>
    </row>
    <row r="20" spans="1:2" x14ac:dyDescent="0.3">
      <c r="A20" s="6" t="s">
        <v>353</v>
      </c>
      <c r="B20">
        <v>5</v>
      </c>
    </row>
    <row r="21" spans="1:2" x14ac:dyDescent="0.3">
      <c r="A21" s="6" t="s">
        <v>144</v>
      </c>
      <c r="B21">
        <v>5</v>
      </c>
    </row>
    <row r="22" spans="1:2" x14ac:dyDescent="0.3">
      <c r="A22" s="6" t="s">
        <v>39</v>
      </c>
      <c r="B22">
        <v>20</v>
      </c>
    </row>
    <row r="23" spans="1:2" x14ac:dyDescent="0.3">
      <c r="A23" s="6" t="s">
        <v>76</v>
      </c>
      <c r="B23">
        <v>16</v>
      </c>
    </row>
    <row r="24" spans="1:2" x14ac:dyDescent="0.3">
      <c r="A24" s="6" t="s">
        <v>912</v>
      </c>
      <c r="B24">
        <v>689</v>
      </c>
    </row>
    <row r="35" spans="1:2" x14ac:dyDescent="0.3">
      <c r="A35" s="5" t="s">
        <v>911</v>
      </c>
      <c r="B35" t="s">
        <v>914</v>
      </c>
    </row>
    <row r="36" spans="1:2" x14ac:dyDescent="0.3">
      <c r="A36" s="6" t="s">
        <v>41</v>
      </c>
      <c r="B36" s="7">
        <v>1937.1666666666667</v>
      </c>
    </row>
    <row r="37" spans="1:2" x14ac:dyDescent="0.3">
      <c r="A37" s="6" t="s">
        <v>118</v>
      </c>
      <c r="B37" s="7">
        <v>2011.3157894736842</v>
      </c>
    </row>
    <row r="38" spans="1:2" x14ac:dyDescent="0.3">
      <c r="A38" s="6" t="s">
        <v>93</v>
      </c>
      <c r="B38" s="7">
        <v>2508.1538461538462</v>
      </c>
    </row>
    <row r="39" spans="1:2" x14ac:dyDescent="0.3">
      <c r="A39" s="6" t="s">
        <v>163</v>
      </c>
      <c r="B39" s="7">
        <v>2000.4444444444443</v>
      </c>
    </row>
    <row r="40" spans="1:2" x14ac:dyDescent="0.3">
      <c r="A40" s="6" t="s">
        <v>53</v>
      </c>
      <c r="B40" s="7">
        <v>2285.2758620689656</v>
      </c>
    </row>
    <row r="41" spans="1:2" x14ac:dyDescent="0.3">
      <c r="A41" s="6" t="s">
        <v>45</v>
      </c>
      <c r="B41" s="7">
        <v>2082.875</v>
      </c>
    </row>
    <row r="42" spans="1:2" x14ac:dyDescent="0.3">
      <c r="A42" s="6" t="s">
        <v>200</v>
      </c>
      <c r="B42" s="7">
        <v>2555.8571428571427</v>
      </c>
    </row>
    <row r="43" spans="1:2" x14ac:dyDescent="0.3">
      <c r="A43" s="6" t="s">
        <v>50</v>
      </c>
      <c r="B43" s="7">
        <v>2114.5250000000001</v>
      </c>
    </row>
    <row r="44" spans="1:2" x14ac:dyDescent="0.3">
      <c r="A44" s="6" t="s">
        <v>25</v>
      </c>
      <c r="B44" s="7">
        <v>2242.375</v>
      </c>
    </row>
    <row r="45" spans="1:2" x14ac:dyDescent="0.3">
      <c r="A45" s="6" t="s">
        <v>28</v>
      </c>
      <c r="B45" s="7">
        <v>2004.6357142857144</v>
      </c>
    </row>
    <row r="46" spans="1:2" x14ac:dyDescent="0.3">
      <c r="A46" s="6" t="s">
        <v>73</v>
      </c>
      <c r="B46" s="7">
        <v>1921</v>
      </c>
    </row>
    <row r="47" spans="1:2" x14ac:dyDescent="0.3">
      <c r="A47" s="6" t="s">
        <v>58</v>
      </c>
      <c r="B47" s="7">
        <v>2061.125</v>
      </c>
    </row>
    <row r="48" spans="1:2" x14ac:dyDescent="0.3">
      <c r="A48" s="6" t="s">
        <v>35</v>
      </c>
      <c r="B48" s="7">
        <v>1964.7058823529412</v>
      </c>
    </row>
    <row r="49" spans="1:2" x14ac:dyDescent="0.3">
      <c r="A49" s="6" t="s">
        <v>88</v>
      </c>
      <c r="B49" s="7">
        <v>2040.4285714285713</v>
      </c>
    </row>
    <row r="50" spans="1:2" x14ac:dyDescent="0.3">
      <c r="A50" s="6" t="s">
        <v>77</v>
      </c>
      <c r="B50" s="7">
        <v>2083.9253731343283</v>
      </c>
    </row>
    <row r="51" spans="1:2" x14ac:dyDescent="0.3">
      <c r="A51" s="6" t="s">
        <v>17</v>
      </c>
      <c r="B51" s="7">
        <v>2053.9550561797751</v>
      </c>
    </row>
    <row r="52" spans="1:2" x14ac:dyDescent="0.3">
      <c r="A52" s="6" t="s">
        <v>353</v>
      </c>
      <c r="B52" s="7">
        <v>1887</v>
      </c>
    </row>
    <row r="53" spans="1:2" x14ac:dyDescent="0.3">
      <c r="A53" s="6" t="s">
        <v>144</v>
      </c>
      <c r="B53" s="7">
        <v>2098.6</v>
      </c>
    </row>
    <row r="54" spans="1:2" x14ac:dyDescent="0.3">
      <c r="A54" s="6" t="s">
        <v>39</v>
      </c>
      <c r="B54" s="7">
        <v>1956.45</v>
      </c>
    </row>
    <row r="55" spans="1:2" x14ac:dyDescent="0.3">
      <c r="A55" s="6" t="s">
        <v>76</v>
      </c>
      <c r="B55" s="7">
        <v>2361.75</v>
      </c>
    </row>
    <row r="56" spans="1:2" x14ac:dyDescent="0.3">
      <c r="A56" s="6" t="s">
        <v>912</v>
      </c>
      <c r="B56" s="7">
        <v>2068.2017416545718</v>
      </c>
    </row>
    <row r="65" spans="1:2" x14ac:dyDescent="0.3">
      <c r="A65" s="5" t="s">
        <v>911</v>
      </c>
      <c r="B65" t="s">
        <v>915</v>
      </c>
    </row>
    <row r="66" spans="1:2" x14ac:dyDescent="0.3">
      <c r="A66" s="6" t="s">
        <v>41</v>
      </c>
      <c r="B66" s="7">
        <v>3.6904761904761907</v>
      </c>
    </row>
    <row r="67" spans="1:2" x14ac:dyDescent="0.3">
      <c r="A67" s="6" t="s">
        <v>118</v>
      </c>
      <c r="B67" s="7">
        <v>3.7894736842105261</v>
      </c>
    </row>
    <row r="68" spans="1:2" x14ac:dyDescent="0.3">
      <c r="A68" s="6" t="s">
        <v>93</v>
      </c>
      <c r="B68" s="7">
        <v>3.0769230769230771</v>
      </c>
    </row>
    <row r="69" spans="1:2" x14ac:dyDescent="0.3">
      <c r="A69" s="6" t="s">
        <v>163</v>
      </c>
      <c r="B69" s="7">
        <v>4.2222222222222223</v>
      </c>
    </row>
    <row r="70" spans="1:2" x14ac:dyDescent="0.3">
      <c r="A70" s="6" t="s">
        <v>53</v>
      </c>
      <c r="B70" s="7">
        <v>3.6206896551724137</v>
      </c>
    </row>
    <row r="71" spans="1:2" x14ac:dyDescent="0.3">
      <c r="A71" s="6" t="s">
        <v>45</v>
      </c>
      <c r="B71" s="7">
        <v>2.875</v>
      </c>
    </row>
    <row r="72" spans="1:2" x14ac:dyDescent="0.3">
      <c r="A72" s="6" t="s">
        <v>200</v>
      </c>
      <c r="B72" s="7">
        <v>4.3571428571428568</v>
      </c>
    </row>
    <row r="73" spans="1:2" x14ac:dyDescent="0.3">
      <c r="A73" s="6" t="s">
        <v>50</v>
      </c>
      <c r="B73" s="7">
        <v>3.6</v>
      </c>
    </row>
    <row r="74" spans="1:2" x14ac:dyDescent="0.3">
      <c r="A74" s="6" t="s">
        <v>25</v>
      </c>
      <c r="B74" s="7">
        <v>4.25</v>
      </c>
    </row>
    <row r="75" spans="1:2" x14ac:dyDescent="0.3">
      <c r="A75" s="6" t="s">
        <v>28</v>
      </c>
      <c r="B75" s="7">
        <v>3.5357142857142856</v>
      </c>
    </row>
    <row r="76" spans="1:2" x14ac:dyDescent="0.3">
      <c r="A76" s="6" t="s">
        <v>73</v>
      </c>
      <c r="B76" s="7">
        <v>4.0999999999999996</v>
      </c>
    </row>
    <row r="77" spans="1:2" x14ac:dyDescent="0.3">
      <c r="A77" s="6" t="s">
        <v>58</v>
      </c>
      <c r="B77" s="7">
        <v>3.4270833333333335</v>
      </c>
    </row>
    <row r="78" spans="1:2" x14ac:dyDescent="0.3">
      <c r="A78" s="6" t="s">
        <v>35</v>
      </c>
      <c r="B78" s="7">
        <v>3.4852941176470589</v>
      </c>
    </row>
    <row r="79" spans="1:2" x14ac:dyDescent="0.3">
      <c r="A79" s="6" t="s">
        <v>88</v>
      </c>
      <c r="B79" s="7">
        <v>3.7857142857142856</v>
      </c>
    </row>
    <row r="80" spans="1:2" x14ac:dyDescent="0.3">
      <c r="A80" s="6" t="s">
        <v>77</v>
      </c>
      <c r="B80" s="7">
        <v>3.5746268656716418</v>
      </c>
    </row>
    <row r="81" spans="1:2" x14ac:dyDescent="0.3">
      <c r="A81" s="6" t="s">
        <v>17</v>
      </c>
      <c r="B81" s="7">
        <v>3.7640449438202248</v>
      </c>
    </row>
    <row r="82" spans="1:2" x14ac:dyDescent="0.3">
      <c r="A82" s="6" t="s">
        <v>353</v>
      </c>
      <c r="B82" s="7">
        <v>3.3</v>
      </c>
    </row>
    <row r="83" spans="1:2" x14ac:dyDescent="0.3">
      <c r="A83" s="6" t="s">
        <v>144</v>
      </c>
      <c r="B83" s="7">
        <v>3</v>
      </c>
    </row>
    <row r="84" spans="1:2" x14ac:dyDescent="0.3">
      <c r="A84" s="6" t="s">
        <v>39</v>
      </c>
      <c r="B84" s="7">
        <v>3.2749999999999999</v>
      </c>
    </row>
    <row r="85" spans="1:2" x14ac:dyDescent="0.3">
      <c r="A85" s="6" t="s">
        <v>76</v>
      </c>
      <c r="B85" s="7">
        <v>2.90625</v>
      </c>
    </row>
    <row r="86" spans="1:2" x14ac:dyDescent="0.3">
      <c r="A86" s="6" t="s">
        <v>912</v>
      </c>
      <c r="B86" s="7">
        <v>3.5863570391872277</v>
      </c>
    </row>
    <row r="93" spans="1:2" x14ac:dyDescent="0.3">
      <c r="A93" s="8"/>
    </row>
    <row r="94" spans="1:2" x14ac:dyDescent="0.3">
      <c r="A94" s="5" t="s">
        <v>911</v>
      </c>
      <c r="B94" t="s">
        <v>913</v>
      </c>
    </row>
    <row r="95" spans="1:2" x14ac:dyDescent="0.3">
      <c r="A95" s="6" t="s">
        <v>916</v>
      </c>
      <c r="B95">
        <v>51</v>
      </c>
    </row>
    <row r="96" spans="1:2" x14ac:dyDescent="0.3">
      <c r="A96" s="6" t="s">
        <v>917</v>
      </c>
      <c r="B96">
        <v>77</v>
      </c>
    </row>
    <row r="97" spans="1:7" x14ac:dyDescent="0.3">
      <c r="A97" s="6" t="s">
        <v>918</v>
      </c>
      <c r="B97">
        <v>151</v>
      </c>
    </row>
    <row r="98" spans="1:7" x14ac:dyDescent="0.3">
      <c r="A98" s="6" t="s">
        <v>919</v>
      </c>
      <c r="B98">
        <v>248</v>
      </c>
    </row>
    <row r="99" spans="1:7" x14ac:dyDescent="0.3">
      <c r="A99" s="6" t="s">
        <v>920</v>
      </c>
      <c r="B99">
        <v>162</v>
      </c>
    </row>
    <row r="100" spans="1:7" x14ac:dyDescent="0.3">
      <c r="A100" s="6" t="s">
        <v>912</v>
      </c>
      <c r="B100" s="7">
        <v>689</v>
      </c>
    </row>
    <row r="103" spans="1:7" x14ac:dyDescent="0.3">
      <c r="F103" s="5" t="s">
        <v>911</v>
      </c>
      <c r="G103" t="s">
        <v>913</v>
      </c>
    </row>
    <row r="104" spans="1:7" x14ac:dyDescent="0.3">
      <c r="F104" s="6" t="s">
        <v>18</v>
      </c>
      <c r="G104">
        <v>379</v>
      </c>
    </row>
    <row r="105" spans="1:7" x14ac:dyDescent="0.3">
      <c r="F105" s="6" t="s">
        <v>294</v>
      </c>
      <c r="G105">
        <v>11</v>
      </c>
    </row>
    <row r="106" spans="1:7" x14ac:dyDescent="0.3">
      <c r="F106" s="6" t="s">
        <v>22</v>
      </c>
      <c r="G106">
        <v>90</v>
      </c>
    </row>
    <row r="107" spans="1:7" x14ac:dyDescent="0.3">
      <c r="F107" s="6" t="s">
        <v>48</v>
      </c>
      <c r="G107">
        <v>53</v>
      </c>
    </row>
    <row r="108" spans="1:7" x14ac:dyDescent="0.3">
      <c r="F108" s="6" t="s">
        <v>29</v>
      </c>
      <c r="G108">
        <v>156</v>
      </c>
    </row>
    <row r="109" spans="1:7" x14ac:dyDescent="0.3">
      <c r="F109" s="6" t="s">
        <v>912</v>
      </c>
      <c r="G109" s="7">
        <v>689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40C42-3FFF-294B-B48E-1F99F63C26DF}">
  <dimension ref="A1:R690"/>
  <sheetViews>
    <sheetView tabSelected="1" zoomScale="55" zoomScaleNormal="55" workbookViewId="0">
      <selection activeCell="V9" sqref="V9"/>
    </sheetView>
  </sheetViews>
  <sheetFormatPr defaultColWidth="11.19921875" defaultRowHeight="15.6" x14ac:dyDescent="0.3"/>
  <cols>
    <col min="2" max="2" width="13" bestFit="1" customWidth="1"/>
    <col min="3" max="3" width="14.5" bestFit="1" customWidth="1"/>
    <col min="4" max="4" width="22.296875" bestFit="1" customWidth="1"/>
    <col min="5" max="6" width="13" style="1" customWidth="1"/>
    <col min="7" max="7" width="8.3984375" bestFit="1" customWidth="1"/>
    <col min="8" max="8" width="11.09765625" bestFit="1" customWidth="1"/>
    <col min="9" max="9" width="25.19921875" customWidth="1"/>
    <col min="10" max="10" width="19.09765625" bestFit="1" customWidth="1"/>
    <col min="11" max="11" width="13.796875" bestFit="1" customWidth="1"/>
    <col min="12" max="12" width="16.796875" bestFit="1" customWidth="1"/>
    <col min="13" max="13" width="15.3984375" bestFit="1" customWidth="1"/>
    <col min="14" max="14" width="13.19921875" bestFit="1" customWidth="1"/>
    <col min="15" max="15" width="22" bestFit="1" customWidth="1"/>
    <col min="16" max="16" width="15.69921875" bestFit="1" customWidth="1"/>
    <col min="17" max="17" width="16.796875" bestFit="1" customWidth="1"/>
  </cols>
  <sheetData>
    <row r="1" spans="1:18" x14ac:dyDescent="0.3">
      <c r="A1" t="s">
        <v>0</v>
      </c>
      <c r="B1" t="s">
        <v>1</v>
      </c>
      <c r="C1" t="s">
        <v>2</v>
      </c>
      <c r="D1" t="s">
        <v>908</v>
      </c>
      <c r="E1" t="s">
        <v>3</v>
      </c>
      <c r="F1" s="1" t="s">
        <v>4</v>
      </c>
      <c r="G1" s="1" t="s">
        <v>5</v>
      </c>
      <c r="H1" s="1" t="s">
        <v>909</v>
      </c>
      <c r="I1" t="s">
        <v>6</v>
      </c>
      <c r="J1" t="s">
        <v>7</v>
      </c>
      <c r="K1" t="s">
        <v>8</v>
      </c>
      <c r="L1" t="s">
        <v>9</v>
      </c>
      <c r="M1" t="s">
        <v>10</v>
      </c>
      <c r="N1" t="s">
        <v>11</v>
      </c>
      <c r="O1" t="s">
        <v>910</v>
      </c>
      <c r="P1" t="s">
        <v>12</v>
      </c>
      <c r="Q1" t="s">
        <v>13</v>
      </c>
      <c r="R1" t="s">
        <v>14</v>
      </c>
    </row>
    <row r="2" spans="1:18" x14ac:dyDescent="0.3">
      <c r="A2">
        <v>1</v>
      </c>
      <c r="B2" t="s">
        <v>15</v>
      </c>
      <c r="C2" t="s">
        <v>16</v>
      </c>
      <c r="D2" t="str">
        <f>_xlfn.CONCAT(EmpTable[[#This Row],[First Name]],EmpTable[[#This Row],[Last Name]])</f>
        <v>GhadirHmshw</v>
      </c>
      <c r="E2" t="s">
        <v>32</v>
      </c>
      <c r="F2" s="1">
        <v>43194</v>
      </c>
      <c r="G2" s="2">
        <f ca="1">DATEDIF(EmpTable[[#This Row],[Start Date]],TODAY(),"Y")</f>
        <v>7</v>
      </c>
      <c r="H2" s="2" t="str" cm="1">
        <f t="array" aca="1" ref="H2" ca="1">_xlfn.IFS(G2&lt;=1,"Fresh",G2&lt;=3,"Junior",G2&lt;=7,"Teamlead",G2&gt;=7,"manger")</f>
        <v>Teamlead</v>
      </c>
      <c r="I2" t="s">
        <v>17</v>
      </c>
      <c r="J2" t="s">
        <v>18</v>
      </c>
      <c r="K2" t="s">
        <v>19</v>
      </c>
      <c r="L2">
        <v>1560</v>
      </c>
      <c r="M2">
        <v>18720</v>
      </c>
      <c r="N2">
        <v>3</v>
      </c>
      <c r="O2" t="str" cm="1">
        <f t="array" ref="O2">_xlfn.IFS(EmpTable[[#This Row],[Job Rate]] &lt;=1,"LOW",N2&lt;=2,"LOW",N2&lt;=3,"MEDIUM",N2&gt;4,"HIGH")</f>
        <v>MEDIUM</v>
      </c>
      <c r="P2">
        <v>1</v>
      </c>
      <c r="Q2">
        <v>0</v>
      </c>
      <c r="R2">
        <v>183</v>
      </c>
    </row>
    <row r="3" spans="1:18" x14ac:dyDescent="0.3">
      <c r="A3">
        <v>2</v>
      </c>
      <c r="B3" t="s">
        <v>20</v>
      </c>
      <c r="C3" t="s">
        <v>21</v>
      </c>
      <c r="D3" t="str">
        <f>_xlfn.CONCAT(EmpTable[[#This Row],[First Name]],EmpTable[[#This Row],[Last Name]])</f>
        <v>OmarHishan</v>
      </c>
      <c r="E3" t="s">
        <v>32</v>
      </c>
      <c r="F3" s="1">
        <v>43972</v>
      </c>
      <c r="G3" s="2">
        <f ca="1">DATEDIF(EmpTable[[#This Row],[Start Date]],TODAY(),"Y")</f>
        <v>5</v>
      </c>
      <c r="H3" s="2" t="str" cm="1">
        <f t="array" aca="1" ref="H3" ca="1">_xlfn.IFS(G3&lt;=1,"Fresh",G3&lt;=3,"Junior",G3&lt;=7,"Teamlead",G3&gt;=7,"manger")</f>
        <v>Teamlead</v>
      </c>
      <c r="I3" t="s">
        <v>17</v>
      </c>
      <c r="J3" t="s">
        <v>22</v>
      </c>
      <c r="K3" t="s">
        <v>19</v>
      </c>
      <c r="L3">
        <v>3247</v>
      </c>
      <c r="M3">
        <v>38964</v>
      </c>
      <c r="N3">
        <v>1</v>
      </c>
      <c r="O3" t="str" cm="1">
        <f t="array" ref="O3">_xlfn.IFS(EmpTable[[#This Row],[Job Rate]] &lt;=1,"LOW",N3&lt;=2,"LOW",N3&lt;=3,"MEDIUM",N3&gt;4,"HIGH")</f>
        <v>LOW</v>
      </c>
      <c r="P3">
        <v>0</v>
      </c>
      <c r="Q3">
        <v>5</v>
      </c>
      <c r="R3">
        <v>198</v>
      </c>
    </row>
    <row r="4" spans="1:18" x14ac:dyDescent="0.3">
      <c r="A4">
        <v>3</v>
      </c>
      <c r="B4" t="s">
        <v>23</v>
      </c>
      <c r="C4" t="s">
        <v>24</v>
      </c>
      <c r="D4" t="str">
        <f>_xlfn.CONCAT(EmpTable[[#This Row],[First Name]],EmpTable[[#This Row],[Last Name]])</f>
        <v>AilyaSharaf</v>
      </c>
      <c r="E4" t="s">
        <v>307</v>
      </c>
      <c r="F4" s="1">
        <v>43006</v>
      </c>
      <c r="G4" s="2">
        <f ca="1">DATEDIF(EmpTable[[#This Row],[Start Date]],TODAY(),"Y")</f>
        <v>8</v>
      </c>
      <c r="H4" s="2" t="str" cm="1">
        <f t="array" aca="1" ref="H4" ca="1">_xlfn.IFS(G4&lt;=1,"Fresh",G4&lt;=3,"Junior",G4&lt;=7,"Teamlead",G4&gt;=7,"manger")</f>
        <v>manger</v>
      </c>
      <c r="I4" t="s">
        <v>25</v>
      </c>
      <c r="J4" t="s">
        <v>22</v>
      </c>
      <c r="K4" t="s">
        <v>19</v>
      </c>
      <c r="L4">
        <v>2506</v>
      </c>
      <c r="M4">
        <v>30072</v>
      </c>
      <c r="N4">
        <v>2</v>
      </c>
      <c r="O4" t="str" cm="1">
        <f t="array" ref="O4">_xlfn.IFS(EmpTable[[#This Row],[Job Rate]] &lt;=1,"LOW",N4&lt;=2,"LOW",N4&lt;=3,"MEDIUM",N4&gt;4,"HIGH")</f>
        <v>LOW</v>
      </c>
      <c r="P4">
        <v>0</v>
      </c>
      <c r="Q4">
        <v>3</v>
      </c>
      <c r="R4">
        <v>192</v>
      </c>
    </row>
    <row r="5" spans="1:18" x14ac:dyDescent="0.3">
      <c r="A5">
        <v>4</v>
      </c>
      <c r="B5" t="s">
        <v>26</v>
      </c>
      <c r="C5" t="s">
        <v>27</v>
      </c>
      <c r="D5" t="str">
        <f>_xlfn.CONCAT(EmpTable[[#This Row],[First Name]],EmpTable[[#This Row],[Last Name]])</f>
        <v>LwiyQbany</v>
      </c>
      <c r="E5" t="s">
        <v>32</v>
      </c>
      <c r="F5" s="1">
        <v>43326</v>
      </c>
      <c r="G5" s="2">
        <f ca="1">DATEDIF(EmpTable[[#This Row],[Start Date]],TODAY(),"Y")</f>
        <v>7</v>
      </c>
      <c r="H5" s="2" t="str" cm="1">
        <f t="array" aca="1" ref="H5" ca="1">_xlfn.IFS(G5&lt;=1,"Fresh",G5&lt;=3,"Junior",G5&lt;=7,"Teamlead",G5&gt;=7,"manger")</f>
        <v>Teamlead</v>
      </c>
      <c r="I5" t="s">
        <v>28</v>
      </c>
      <c r="J5" t="s">
        <v>29</v>
      </c>
      <c r="K5" t="s">
        <v>42</v>
      </c>
      <c r="L5">
        <v>1828</v>
      </c>
      <c r="M5">
        <v>21936</v>
      </c>
      <c r="N5">
        <v>3</v>
      </c>
      <c r="O5" t="str" cm="1">
        <f t="array" ref="O5">_xlfn.IFS(EmpTable[[#This Row],[Job Rate]] &lt;=1,"LOW",N5&lt;=2,"LOW",N5&lt;=3,"MEDIUM",N5&gt;4,"HIGH")</f>
        <v>MEDIUM</v>
      </c>
      <c r="P5">
        <v>0</v>
      </c>
      <c r="Q5">
        <v>0</v>
      </c>
      <c r="R5">
        <v>7</v>
      </c>
    </row>
    <row r="6" spans="1:18" x14ac:dyDescent="0.3">
      <c r="A6">
        <v>5</v>
      </c>
      <c r="B6" t="s">
        <v>30</v>
      </c>
      <c r="C6" t="s">
        <v>31</v>
      </c>
      <c r="D6" t="str">
        <f>_xlfn.CONCAT(EmpTable[[#This Row],[First Name]],EmpTable[[#This Row],[Last Name]])</f>
        <v>AhmadBikri</v>
      </c>
      <c r="E6" t="s">
        <v>32</v>
      </c>
      <c r="F6" s="1">
        <v>43901</v>
      </c>
      <c r="G6" s="2">
        <f ca="1">DATEDIF(EmpTable[[#This Row],[Start Date]],TODAY(),"Y")</f>
        <v>6</v>
      </c>
      <c r="H6" s="2" t="str" cm="1">
        <f t="array" aca="1" ref="H6" ca="1">_xlfn.IFS(G6&lt;=1,"Fresh",G6&lt;=3,"Junior",G6&lt;=7,"Teamlead",G6&gt;=7,"manger")</f>
        <v>Teamlead</v>
      </c>
      <c r="I6" t="s">
        <v>28</v>
      </c>
      <c r="J6" t="s">
        <v>18</v>
      </c>
      <c r="K6" t="s">
        <v>42</v>
      </c>
      <c r="L6">
        <v>970</v>
      </c>
      <c r="M6">
        <v>11640</v>
      </c>
      <c r="N6">
        <v>5</v>
      </c>
      <c r="O6" t="str" cm="1">
        <f t="array" ref="O6">_xlfn.IFS(EmpTable[[#This Row],[Job Rate]] &lt;=1,"LOW",N6&lt;=2,"LOW",N6&lt;=3,"MEDIUM",N6&gt;4,"HIGH")</f>
        <v>HIGH</v>
      </c>
      <c r="P6">
        <v>0</v>
      </c>
      <c r="Q6">
        <v>5</v>
      </c>
      <c r="R6">
        <v>121</v>
      </c>
    </row>
    <row r="7" spans="1:18" x14ac:dyDescent="0.3">
      <c r="A7">
        <v>6</v>
      </c>
      <c r="B7" t="s">
        <v>33</v>
      </c>
      <c r="C7" t="s">
        <v>34</v>
      </c>
      <c r="D7" t="str">
        <f>_xlfn.CONCAT(EmpTable[[#This Row],[First Name]],EmpTable[[#This Row],[Last Name]])</f>
        <v>MuhamadZueitr</v>
      </c>
      <c r="E7" t="s">
        <v>32</v>
      </c>
      <c r="F7" s="1">
        <v>42402</v>
      </c>
      <c r="G7" s="2">
        <f ca="1">DATEDIF(EmpTable[[#This Row],[Start Date]],TODAY(),"Y")</f>
        <v>10</v>
      </c>
      <c r="H7" s="2" t="str" cm="1">
        <f t="array" aca="1" ref="H7" ca="1">_xlfn.IFS(G7&lt;=1,"Fresh",G7&lt;=3,"Junior",G7&lt;=7,"Teamlead",G7&gt;=7,"manger")</f>
        <v>manger</v>
      </c>
      <c r="I7" t="s">
        <v>35</v>
      </c>
      <c r="J7" t="s">
        <v>22</v>
      </c>
      <c r="K7" t="s">
        <v>36</v>
      </c>
      <c r="L7">
        <v>2332</v>
      </c>
      <c r="M7">
        <v>27984</v>
      </c>
      <c r="N7">
        <v>3</v>
      </c>
      <c r="O7" t="str" cm="1">
        <f t="array" ref="O7">_xlfn.IFS(EmpTable[[#This Row],[Job Rate]] &lt;=1,"LOW",N7&lt;=2,"LOW",N7&lt;=3,"MEDIUM",N7&gt;4,"HIGH")</f>
        <v>MEDIUM</v>
      </c>
      <c r="P7">
        <v>3</v>
      </c>
      <c r="Q7">
        <v>0</v>
      </c>
      <c r="R7">
        <v>8</v>
      </c>
    </row>
    <row r="8" spans="1:18" x14ac:dyDescent="0.3">
      <c r="A8">
        <v>7</v>
      </c>
      <c r="B8" t="s">
        <v>37</v>
      </c>
      <c r="C8" t="s">
        <v>38</v>
      </c>
      <c r="D8" t="str">
        <f>_xlfn.CONCAT(EmpTable[[#This Row],[First Name]],EmpTable[[#This Row],[Last Name]])</f>
        <v>IinAlhalaliu</v>
      </c>
      <c r="E8" t="s">
        <v>307</v>
      </c>
      <c r="F8" s="1">
        <v>43959</v>
      </c>
      <c r="G8" s="2">
        <f ca="1">DATEDIF(EmpTable[[#This Row],[Start Date]],TODAY(),"Y")</f>
        <v>5</v>
      </c>
      <c r="H8" s="2" t="str" cm="1">
        <f t="array" aca="1" ref="H8" ca="1">_xlfn.IFS(G8&lt;=1,"Fresh",G8&lt;=3,"Junior",G8&lt;=7,"Teamlead",G8&gt;=7,"manger")</f>
        <v>Teamlead</v>
      </c>
      <c r="I8" t="s">
        <v>39</v>
      </c>
      <c r="J8" t="s">
        <v>29</v>
      </c>
      <c r="K8" t="s">
        <v>42</v>
      </c>
      <c r="L8">
        <v>1959</v>
      </c>
      <c r="M8">
        <v>23508</v>
      </c>
      <c r="N8">
        <v>3</v>
      </c>
      <c r="O8" t="str" cm="1">
        <f t="array" ref="O8">_xlfn.IFS(EmpTable[[#This Row],[Job Rate]] &lt;=1,"LOW",N8&lt;=2,"LOW",N8&lt;=3,"MEDIUM",N8&gt;4,"HIGH")</f>
        <v>MEDIUM</v>
      </c>
      <c r="P8">
        <v>6</v>
      </c>
      <c r="Q8">
        <v>0</v>
      </c>
      <c r="R8">
        <v>116</v>
      </c>
    </row>
    <row r="9" spans="1:18" x14ac:dyDescent="0.3">
      <c r="A9">
        <v>8</v>
      </c>
      <c r="B9" t="s">
        <v>33</v>
      </c>
      <c r="C9" t="s">
        <v>40</v>
      </c>
      <c r="D9" t="str">
        <f>_xlfn.CONCAT(EmpTable[[#This Row],[First Name]],EmpTable[[#This Row],[Last Name]])</f>
        <v>MuhamadAlaya</v>
      </c>
      <c r="E9" t="s">
        <v>32</v>
      </c>
      <c r="F9" s="1">
        <v>43141</v>
      </c>
      <c r="G9" s="2">
        <f ca="1">DATEDIF(EmpTable[[#This Row],[Start Date]],TODAY(),"Y")</f>
        <v>8</v>
      </c>
      <c r="H9" s="2" t="str" cm="1">
        <f t="array" aca="1" ref="H9" ca="1">_xlfn.IFS(G9&lt;=1,"Fresh",G9&lt;=3,"Junior",G9&lt;=7,"Teamlead",G9&gt;=7,"manger")</f>
        <v>manger</v>
      </c>
      <c r="I9" t="s">
        <v>41</v>
      </c>
      <c r="J9" t="s">
        <v>18</v>
      </c>
      <c r="K9" t="s">
        <v>42</v>
      </c>
      <c r="L9">
        <v>3394</v>
      </c>
      <c r="M9">
        <v>40728</v>
      </c>
      <c r="N9">
        <v>5</v>
      </c>
      <c r="O9" t="str" cm="1">
        <f t="array" ref="O9">_xlfn.IFS(EmpTable[[#This Row],[Job Rate]] &lt;=1,"LOW",N9&lt;=2,"LOW",N9&lt;=3,"MEDIUM",N9&gt;4,"HIGH")</f>
        <v>HIGH</v>
      </c>
      <c r="P9">
        <v>0</v>
      </c>
      <c r="Q9">
        <v>0</v>
      </c>
      <c r="R9">
        <v>7</v>
      </c>
    </row>
    <row r="10" spans="1:18" x14ac:dyDescent="0.3">
      <c r="A10">
        <v>9</v>
      </c>
      <c r="B10" t="s">
        <v>43</v>
      </c>
      <c r="C10" t="s">
        <v>44</v>
      </c>
      <c r="D10" t="str">
        <f>_xlfn.CONCAT(EmpTable[[#This Row],[First Name]],EmpTable[[#This Row],[Last Name]])</f>
        <v>SusinAlmilat</v>
      </c>
      <c r="E10" t="s">
        <v>307</v>
      </c>
      <c r="F10" s="1">
        <v>43170</v>
      </c>
      <c r="G10" s="2">
        <f ca="1">DATEDIF(EmpTable[[#This Row],[Start Date]],TODAY(),"Y")</f>
        <v>8</v>
      </c>
      <c r="H10" s="2" t="str" cm="1">
        <f t="array" aca="1" ref="H10" ca="1">_xlfn.IFS(G10&lt;=1,"Fresh",G10&lt;=3,"Junior",G10&lt;=7,"Teamlead",G10&gt;=7,"manger")</f>
        <v>manger</v>
      </c>
      <c r="I10" t="s">
        <v>45</v>
      </c>
      <c r="J10" t="s">
        <v>18</v>
      </c>
      <c r="K10" t="s">
        <v>36</v>
      </c>
      <c r="L10">
        <v>1479</v>
      </c>
      <c r="M10">
        <v>17748</v>
      </c>
      <c r="N10">
        <v>4.5</v>
      </c>
      <c r="O10" t="str" cm="1">
        <f t="array" ref="O10">_xlfn.IFS(EmpTable[[#This Row],[Job Rate]] &lt;=1,"LOW",N10&lt;=2,"LOW",N10&lt;=3,"MEDIUM",N10&gt;4,"HIGH")</f>
        <v>HIGH</v>
      </c>
      <c r="P10">
        <v>0</v>
      </c>
      <c r="Q10">
        <v>0</v>
      </c>
      <c r="R10">
        <v>105</v>
      </c>
    </row>
    <row r="11" spans="1:18" x14ac:dyDescent="0.3">
      <c r="A11">
        <v>10</v>
      </c>
      <c r="B11" t="s">
        <v>33</v>
      </c>
      <c r="C11" t="s">
        <v>46</v>
      </c>
      <c r="D11" t="str">
        <f>_xlfn.CONCAT(EmpTable[[#This Row],[First Name]],EmpTable[[#This Row],[Last Name]])</f>
        <v>MuhamadAlrifaei</v>
      </c>
      <c r="E11" t="s">
        <v>32</v>
      </c>
      <c r="F11" s="1">
        <v>43833</v>
      </c>
      <c r="G11" s="2">
        <f ca="1">DATEDIF(EmpTable[[#This Row],[Start Date]],TODAY(),"Y")</f>
        <v>6</v>
      </c>
      <c r="H11" s="2" t="str" cm="1">
        <f t="array" aca="1" ref="H11" ca="1">_xlfn.IFS(G11&lt;=1,"Fresh",G11&lt;=3,"Junior",G11&lt;=7,"Teamlead",G11&gt;=7,"manger")</f>
        <v>Teamlead</v>
      </c>
      <c r="I11" t="s">
        <v>41</v>
      </c>
      <c r="J11" t="s">
        <v>18</v>
      </c>
      <c r="K11" t="s">
        <v>42</v>
      </c>
      <c r="L11">
        <v>1186</v>
      </c>
      <c r="M11">
        <v>14232</v>
      </c>
      <c r="N11">
        <v>4.5</v>
      </c>
      <c r="O11" t="str" cm="1">
        <f t="array" ref="O11">_xlfn.IFS(EmpTable[[#This Row],[Job Rate]] &lt;=1,"LOW",N11&lt;=2,"LOW",N11&lt;=3,"MEDIUM",N11&gt;4,"HIGH")</f>
        <v>HIGH</v>
      </c>
      <c r="P11">
        <v>1</v>
      </c>
      <c r="Q11">
        <v>0</v>
      </c>
      <c r="R11">
        <v>153</v>
      </c>
    </row>
    <row r="12" spans="1:18" x14ac:dyDescent="0.3">
      <c r="A12">
        <v>11</v>
      </c>
      <c r="B12" t="s">
        <v>33</v>
      </c>
      <c r="C12" t="s">
        <v>47</v>
      </c>
      <c r="D12" t="str">
        <f>_xlfn.CONCAT(EmpTable[[#This Row],[First Name]],EmpTable[[#This Row],[Last Name]])</f>
        <v>MuhamadAlqadah</v>
      </c>
      <c r="E12" t="s">
        <v>32</v>
      </c>
      <c r="F12" s="1">
        <v>43116</v>
      </c>
      <c r="G12" s="2">
        <f ca="1">DATEDIF(EmpTable[[#This Row],[Start Date]],TODAY(),"Y")</f>
        <v>8</v>
      </c>
      <c r="H12" s="2" t="str" cm="1">
        <f t="array" aca="1" ref="H12" ca="1">_xlfn.IFS(G12&lt;=1,"Fresh",G12&lt;=3,"Junior",G12&lt;=7,"Teamlead",G12&gt;=7,"manger")</f>
        <v>manger</v>
      </c>
      <c r="I12" t="s">
        <v>28</v>
      </c>
      <c r="J12" t="s">
        <v>48</v>
      </c>
      <c r="K12" t="s">
        <v>42</v>
      </c>
      <c r="L12">
        <v>1485</v>
      </c>
      <c r="M12">
        <v>17820</v>
      </c>
      <c r="N12">
        <v>2</v>
      </c>
      <c r="O12" t="str" cm="1">
        <f t="array" ref="O12">_xlfn.IFS(EmpTable[[#This Row],[Job Rate]] &lt;=1,"LOW",N12&lt;=2,"LOW",N12&lt;=3,"MEDIUM",N12&gt;4,"HIGH")</f>
        <v>LOW</v>
      </c>
      <c r="P12">
        <v>5</v>
      </c>
      <c r="Q12">
        <v>0</v>
      </c>
      <c r="R12">
        <v>12</v>
      </c>
    </row>
    <row r="13" spans="1:18" x14ac:dyDescent="0.3">
      <c r="A13">
        <v>12</v>
      </c>
      <c r="B13" t="s">
        <v>33</v>
      </c>
      <c r="C13" t="s">
        <v>49</v>
      </c>
      <c r="D13" t="str">
        <f>_xlfn.CONCAT(EmpTable[[#This Row],[First Name]],EmpTable[[#This Row],[Last Name]])</f>
        <v>MuhamadIad</v>
      </c>
      <c r="E13" t="s">
        <v>32</v>
      </c>
      <c r="F13" s="1">
        <v>43300</v>
      </c>
      <c r="G13" s="2">
        <f ca="1">DATEDIF(EmpTable[[#This Row],[Start Date]],TODAY(),"Y")</f>
        <v>7</v>
      </c>
      <c r="H13" s="2" t="str" cm="1">
        <f t="array" aca="1" ref="H13" ca="1">_xlfn.IFS(G13&lt;=1,"Fresh",G13&lt;=3,"Junior",G13&lt;=7,"Teamlead",G13&gt;=7,"manger")</f>
        <v>Teamlead</v>
      </c>
      <c r="I13" t="s">
        <v>50</v>
      </c>
      <c r="J13" t="s">
        <v>18</v>
      </c>
      <c r="K13" t="s">
        <v>42</v>
      </c>
      <c r="L13">
        <v>2016</v>
      </c>
      <c r="M13">
        <v>24192</v>
      </c>
      <c r="N13">
        <v>1</v>
      </c>
      <c r="O13" t="str" cm="1">
        <f t="array" ref="O13">_xlfn.IFS(EmpTable[[#This Row],[Job Rate]] &lt;=1,"LOW",N13&lt;=2,"LOW",N13&lt;=3,"MEDIUM",N13&gt;4,"HIGH")</f>
        <v>LOW</v>
      </c>
      <c r="P13">
        <v>2</v>
      </c>
      <c r="Q13">
        <v>0</v>
      </c>
      <c r="R13">
        <v>70</v>
      </c>
    </row>
    <row r="14" spans="1:18" x14ac:dyDescent="0.3">
      <c r="A14">
        <v>13</v>
      </c>
      <c r="B14" t="s">
        <v>51</v>
      </c>
      <c r="C14" t="s">
        <v>52</v>
      </c>
      <c r="D14" t="str">
        <f>_xlfn.CONCAT(EmpTable[[#This Row],[First Name]],EmpTable[[#This Row],[Last Name]])</f>
        <v>RazaanNasif</v>
      </c>
      <c r="E14" t="s">
        <v>307</v>
      </c>
      <c r="F14" s="1">
        <v>43415</v>
      </c>
      <c r="G14" s="2">
        <f ca="1">DATEDIF(EmpTable[[#This Row],[Start Date]],TODAY(),"Y")</f>
        <v>7</v>
      </c>
      <c r="H14" s="2" t="str" cm="1">
        <f t="array" aca="1" ref="H14" ca="1">_xlfn.IFS(G14&lt;=1,"Fresh",G14&lt;=3,"Junior",G14&lt;=7,"Teamlead",G14&gt;=7,"manger")</f>
        <v>Teamlead</v>
      </c>
      <c r="I14" t="s">
        <v>53</v>
      </c>
      <c r="J14" t="s">
        <v>18</v>
      </c>
      <c r="K14" t="s">
        <v>42</v>
      </c>
      <c r="L14">
        <v>1999</v>
      </c>
      <c r="M14">
        <v>23988</v>
      </c>
      <c r="N14">
        <v>5</v>
      </c>
      <c r="O14" t="str" cm="1">
        <f t="array" ref="O14">_xlfn.IFS(EmpTable[[#This Row],[Job Rate]] &lt;=1,"LOW",N14&lt;=2,"LOW",N14&lt;=3,"MEDIUM",N14&gt;4,"HIGH")</f>
        <v>HIGH</v>
      </c>
      <c r="P14">
        <v>6</v>
      </c>
      <c r="Q14">
        <v>0</v>
      </c>
      <c r="R14">
        <v>85</v>
      </c>
    </row>
    <row r="15" spans="1:18" x14ac:dyDescent="0.3">
      <c r="A15">
        <v>14</v>
      </c>
      <c r="B15" t="s">
        <v>54</v>
      </c>
      <c r="C15" t="s">
        <v>55</v>
      </c>
      <c r="D15" t="str">
        <f>_xlfn.CONCAT(EmpTable[[#This Row],[First Name]],EmpTable[[#This Row],[Last Name]])</f>
        <v>IilianDbs</v>
      </c>
      <c r="E15" t="s">
        <v>307</v>
      </c>
      <c r="F15" s="1">
        <v>42430</v>
      </c>
      <c r="G15" s="2">
        <f ca="1">DATEDIF(EmpTable[[#This Row],[Start Date]],TODAY(),"Y")</f>
        <v>10</v>
      </c>
      <c r="H15" s="2" t="str" cm="1">
        <f t="array" aca="1" ref="H15" ca="1">_xlfn.IFS(G15&lt;=1,"Fresh",G15&lt;=3,"Junior",G15&lt;=7,"Teamlead",G15&gt;=7,"manger")</f>
        <v>manger</v>
      </c>
      <c r="I15" t="s">
        <v>53</v>
      </c>
      <c r="J15" t="s">
        <v>29</v>
      </c>
      <c r="K15" t="s">
        <v>36</v>
      </c>
      <c r="L15">
        <v>3404</v>
      </c>
      <c r="M15">
        <v>40848</v>
      </c>
      <c r="N15">
        <v>5</v>
      </c>
      <c r="O15" t="str" cm="1">
        <f t="array" ref="O15">_xlfn.IFS(EmpTable[[#This Row],[Job Rate]] &lt;=1,"LOW",N15&lt;=2,"LOW",N15&lt;=3,"MEDIUM",N15&gt;4,"HIGH")</f>
        <v>HIGH</v>
      </c>
      <c r="P15">
        <v>1</v>
      </c>
      <c r="Q15">
        <v>0</v>
      </c>
      <c r="R15">
        <v>8</v>
      </c>
    </row>
    <row r="16" spans="1:18" x14ac:dyDescent="0.3">
      <c r="A16">
        <v>15</v>
      </c>
      <c r="B16" t="s">
        <v>56</v>
      </c>
      <c r="C16" t="s">
        <v>57</v>
      </c>
      <c r="D16" t="str">
        <f>_xlfn.CONCAT(EmpTable[[#This Row],[First Name]],EmpTable[[#This Row],[Last Name]])</f>
        <v>BayanQdw</v>
      </c>
      <c r="E16" t="s">
        <v>307</v>
      </c>
      <c r="F16" s="1">
        <v>43438</v>
      </c>
      <c r="G16" s="2">
        <f ca="1">DATEDIF(EmpTable[[#This Row],[Start Date]],TODAY(),"Y")</f>
        <v>7</v>
      </c>
      <c r="H16" s="2" t="str" cm="1">
        <f t="array" aca="1" ref="H16" ca="1">_xlfn.IFS(G16&lt;=1,"Fresh",G16&lt;=3,"Junior",G16&lt;=7,"Teamlead",G16&gt;=7,"manger")</f>
        <v>Teamlead</v>
      </c>
      <c r="I16" t="s">
        <v>58</v>
      </c>
      <c r="J16" t="s">
        <v>18</v>
      </c>
      <c r="K16" t="s">
        <v>42</v>
      </c>
      <c r="L16">
        <v>889</v>
      </c>
      <c r="M16">
        <v>10668</v>
      </c>
      <c r="N16">
        <v>3</v>
      </c>
      <c r="O16" t="str" cm="1">
        <f t="array" ref="O16">_xlfn.IFS(EmpTable[[#This Row],[Job Rate]] &lt;=1,"LOW",N16&lt;=2,"LOW",N16&lt;=3,"MEDIUM",N16&gt;4,"HIGH")</f>
        <v>MEDIUM</v>
      </c>
      <c r="P16">
        <v>1</v>
      </c>
      <c r="Q16">
        <v>1</v>
      </c>
      <c r="R16">
        <v>8</v>
      </c>
    </row>
    <row r="17" spans="1:18" x14ac:dyDescent="0.3">
      <c r="A17">
        <v>16</v>
      </c>
      <c r="B17" t="s">
        <v>59</v>
      </c>
      <c r="C17" t="s">
        <v>33</v>
      </c>
      <c r="D17" t="str">
        <f>_xlfn.CONCAT(EmpTable[[#This Row],[First Name]],EmpTable[[#This Row],[Last Name]])</f>
        <v>AlaaMuhamad</v>
      </c>
      <c r="E17" t="s">
        <v>32</v>
      </c>
      <c r="F17" s="1">
        <v>43745</v>
      </c>
      <c r="G17" s="2">
        <f ca="1">DATEDIF(EmpTable[[#This Row],[Start Date]],TODAY(),"Y")</f>
        <v>6</v>
      </c>
      <c r="H17" s="2" t="str" cm="1">
        <f t="array" aca="1" ref="H17" ca="1">_xlfn.IFS(G17&lt;=1,"Fresh",G17&lt;=3,"Junior",G17&lt;=7,"Teamlead",G17&gt;=7,"manger")</f>
        <v>Teamlead</v>
      </c>
      <c r="I17" t="s">
        <v>39</v>
      </c>
      <c r="J17" t="s">
        <v>18</v>
      </c>
      <c r="K17" t="s">
        <v>60</v>
      </c>
      <c r="L17">
        <v>930</v>
      </c>
      <c r="M17">
        <v>11160</v>
      </c>
      <c r="N17">
        <v>3</v>
      </c>
      <c r="O17" t="str" cm="1">
        <f t="array" ref="O17">_xlfn.IFS(EmpTable[[#This Row],[Job Rate]] &lt;=1,"LOW",N17&lt;=2,"LOW",N17&lt;=3,"MEDIUM",N17&gt;4,"HIGH")</f>
        <v>MEDIUM</v>
      </c>
      <c r="P17">
        <v>0</v>
      </c>
      <c r="Q17">
        <v>0</v>
      </c>
      <c r="R17">
        <v>77</v>
      </c>
    </row>
    <row r="18" spans="1:18" x14ac:dyDescent="0.3">
      <c r="A18">
        <v>17</v>
      </c>
      <c r="B18" t="s">
        <v>61</v>
      </c>
      <c r="C18" t="s">
        <v>62</v>
      </c>
      <c r="D18" t="str">
        <f>_xlfn.CONCAT(EmpTable[[#This Row],[First Name]],EmpTable[[#This Row],[Last Name]])</f>
        <v>SandraAljurmqaniu</v>
      </c>
      <c r="E18" t="s">
        <v>307</v>
      </c>
      <c r="F18" s="1">
        <v>42517</v>
      </c>
      <c r="G18" s="2">
        <f ca="1">DATEDIF(EmpTable[[#This Row],[Start Date]],TODAY(),"Y")</f>
        <v>9</v>
      </c>
      <c r="H18" s="2" t="str" cm="1">
        <f t="array" aca="1" ref="H18" ca="1">_xlfn.IFS(G18&lt;=1,"Fresh",G18&lt;=3,"Junior",G18&lt;=7,"Teamlead",G18&gt;=7,"manger")</f>
        <v>manger</v>
      </c>
      <c r="I18" t="s">
        <v>41</v>
      </c>
      <c r="J18" t="s">
        <v>22</v>
      </c>
      <c r="K18" t="s">
        <v>19</v>
      </c>
      <c r="L18">
        <v>3149</v>
      </c>
      <c r="M18">
        <v>37788</v>
      </c>
      <c r="N18">
        <v>4.5</v>
      </c>
      <c r="O18" t="str" cm="1">
        <f t="array" ref="O18">_xlfn.IFS(EmpTable[[#This Row],[Job Rate]] &lt;=1,"LOW",N18&lt;=2,"LOW",N18&lt;=3,"MEDIUM",N18&gt;4,"HIGH")</f>
        <v>HIGH</v>
      </c>
      <c r="P18">
        <v>0</v>
      </c>
      <c r="Q18">
        <v>0</v>
      </c>
      <c r="R18">
        <v>93</v>
      </c>
    </row>
    <row r="19" spans="1:18" x14ac:dyDescent="0.3">
      <c r="A19">
        <v>18</v>
      </c>
      <c r="B19" t="s">
        <v>63</v>
      </c>
      <c r="C19" t="s">
        <v>64</v>
      </c>
      <c r="D19" t="str">
        <f>_xlfn.CONCAT(EmpTable[[#This Row],[First Name]],EmpTable[[#This Row],[Last Name]])</f>
        <v>FarahadHusayn</v>
      </c>
      <c r="E19" t="s">
        <v>32</v>
      </c>
      <c r="F19" s="1">
        <v>43232</v>
      </c>
      <c r="G19" s="2">
        <f ca="1">DATEDIF(EmpTable[[#This Row],[Start Date]],TODAY(),"Y")</f>
        <v>7</v>
      </c>
      <c r="H19" s="2" t="str" cm="1">
        <f t="array" aca="1" ref="H19" ca="1">_xlfn.IFS(G19&lt;=1,"Fresh",G19&lt;=3,"Junior",G19&lt;=7,"Teamlead",G19&gt;=7,"manger")</f>
        <v>Teamlead</v>
      </c>
      <c r="I19" t="s">
        <v>17</v>
      </c>
      <c r="J19" t="s">
        <v>29</v>
      </c>
      <c r="K19" t="s">
        <v>19</v>
      </c>
      <c r="L19">
        <v>1295</v>
      </c>
      <c r="M19">
        <v>15540</v>
      </c>
      <c r="N19">
        <v>3</v>
      </c>
      <c r="O19" t="str" cm="1">
        <f t="array" ref="O19">_xlfn.IFS(EmpTable[[#This Row],[Job Rate]] &lt;=1,"LOW",N19&lt;=2,"LOW",N19&lt;=3,"MEDIUM",N19&gt;4,"HIGH")</f>
        <v>MEDIUM</v>
      </c>
      <c r="P19">
        <v>4</v>
      </c>
      <c r="Q19">
        <v>0</v>
      </c>
      <c r="R19">
        <v>153</v>
      </c>
    </row>
    <row r="20" spans="1:18" x14ac:dyDescent="0.3">
      <c r="A20">
        <v>19</v>
      </c>
      <c r="B20" t="s">
        <v>65</v>
      </c>
      <c r="C20" t="s">
        <v>66</v>
      </c>
      <c r="D20" t="str">
        <f>_xlfn.CONCAT(EmpTable[[#This Row],[First Name]],EmpTable[[#This Row],[Last Name]])</f>
        <v>AhedSalim</v>
      </c>
      <c r="E20" t="s">
        <v>307</v>
      </c>
      <c r="F20" s="1">
        <v>43214</v>
      </c>
      <c r="G20" s="2">
        <f ca="1">DATEDIF(EmpTable[[#This Row],[Start Date]],TODAY(),"Y")</f>
        <v>7</v>
      </c>
      <c r="H20" s="2" t="str" cm="1">
        <f t="array" aca="1" ref="H20" ca="1">_xlfn.IFS(G20&lt;=1,"Fresh",G20&lt;=3,"Junior",G20&lt;=7,"Teamlead",G20&gt;=7,"manger")</f>
        <v>Teamlead</v>
      </c>
      <c r="I20" t="s">
        <v>17</v>
      </c>
      <c r="J20" t="s">
        <v>29</v>
      </c>
      <c r="K20" t="s">
        <v>60</v>
      </c>
      <c r="L20">
        <v>2162</v>
      </c>
      <c r="M20">
        <v>25944</v>
      </c>
      <c r="N20">
        <v>3</v>
      </c>
      <c r="O20" t="str" cm="1">
        <f t="array" ref="O20">_xlfn.IFS(EmpTable[[#This Row],[Job Rate]] &lt;=1,"LOW",N20&lt;=2,"LOW",N20&lt;=3,"MEDIUM",N20&gt;4,"HIGH")</f>
        <v>MEDIUM</v>
      </c>
      <c r="P20">
        <v>0</v>
      </c>
      <c r="Q20">
        <v>0</v>
      </c>
      <c r="R20">
        <v>8</v>
      </c>
    </row>
    <row r="21" spans="1:18" x14ac:dyDescent="0.3">
      <c r="A21">
        <v>20</v>
      </c>
      <c r="B21" t="s">
        <v>67</v>
      </c>
      <c r="C21" t="s">
        <v>68</v>
      </c>
      <c r="D21" t="str">
        <f>_xlfn.CONCAT(EmpTable[[#This Row],[First Name]],EmpTable[[#This Row],[Last Name]])</f>
        <v>AyhamTutwnji</v>
      </c>
      <c r="E21" t="s">
        <v>32</v>
      </c>
      <c r="F21" s="1">
        <v>43740</v>
      </c>
      <c r="G21" s="2">
        <f ca="1">DATEDIF(EmpTable[[#This Row],[Start Date]],TODAY(),"Y")</f>
        <v>6</v>
      </c>
      <c r="H21" s="2" t="str" cm="1">
        <f t="array" aca="1" ref="H21" ca="1">_xlfn.IFS(G21&lt;=1,"Fresh",G21&lt;=3,"Junior",G21&lt;=7,"Teamlead",G21&gt;=7,"manger")</f>
        <v>Teamlead</v>
      </c>
      <c r="I21" t="s">
        <v>35</v>
      </c>
      <c r="J21" t="s">
        <v>29</v>
      </c>
      <c r="K21" t="s">
        <v>19</v>
      </c>
      <c r="L21">
        <v>2180</v>
      </c>
      <c r="M21">
        <v>26160</v>
      </c>
      <c r="N21">
        <v>2</v>
      </c>
      <c r="O21" t="str" cm="1">
        <f t="array" ref="O21">_xlfn.IFS(EmpTable[[#This Row],[Job Rate]] &lt;=1,"LOW",N21&lt;=2,"LOW",N21&lt;=3,"MEDIUM",N21&gt;4,"HIGH")</f>
        <v>LOW</v>
      </c>
      <c r="P21">
        <v>6</v>
      </c>
      <c r="Q21">
        <v>0</v>
      </c>
      <c r="R21">
        <v>10</v>
      </c>
    </row>
    <row r="22" spans="1:18" x14ac:dyDescent="0.3">
      <c r="A22">
        <v>21</v>
      </c>
      <c r="B22" t="s">
        <v>69</v>
      </c>
      <c r="C22" t="s">
        <v>70</v>
      </c>
      <c r="D22" t="str">
        <f>_xlfn.CONCAT(EmpTable[[#This Row],[First Name]],EmpTable[[#This Row],[Last Name]])</f>
        <v>SamirAlsafdi</v>
      </c>
      <c r="E22" t="s">
        <v>32</v>
      </c>
      <c r="F22" s="1">
        <v>44168</v>
      </c>
      <c r="G22" s="2">
        <f ca="1">DATEDIF(EmpTable[[#This Row],[Start Date]],TODAY(),"Y")</f>
        <v>5</v>
      </c>
      <c r="H22" s="2" t="str" cm="1">
        <f t="array" aca="1" ref="H22" ca="1">_xlfn.IFS(G22&lt;=1,"Fresh",G22&lt;=3,"Junior",G22&lt;=7,"Teamlead",G22&gt;=7,"manger")</f>
        <v>Teamlead</v>
      </c>
      <c r="I22" t="s">
        <v>41</v>
      </c>
      <c r="J22" t="s">
        <v>18</v>
      </c>
      <c r="K22" t="s">
        <v>42</v>
      </c>
      <c r="L22">
        <v>1475</v>
      </c>
      <c r="M22">
        <v>17700</v>
      </c>
      <c r="N22">
        <v>5</v>
      </c>
      <c r="O22" t="str" cm="1">
        <f t="array" ref="O22">_xlfn.IFS(EmpTable[[#This Row],[Job Rate]] &lt;=1,"LOW",N22&lt;=2,"LOW",N22&lt;=3,"MEDIUM",N22&gt;4,"HIGH")</f>
        <v>HIGH</v>
      </c>
      <c r="P22">
        <v>0</v>
      </c>
      <c r="Q22">
        <v>0</v>
      </c>
      <c r="R22">
        <v>98</v>
      </c>
    </row>
    <row r="23" spans="1:18" x14ac:dyDescent="0.3">
      <c r="A23">
        <v>22</v>
      </c>
      <c r="B23" t="s">
        <v>71</v>
      </c>
      <c r="C23" t="s">
        <v>72</v>
      </c>
      <c r="D23" t="str">
        <f>_xlfn.CONCAT(EmpTable[[#This Row],[First Name]],EmpTable[[#This Row],[Last Name]])</f>
        <v>BilalJalal</v>
      </c>
      <c r="E23" t="s">
        <v>32</v>
      </c>
      <c r="F23" s="1">
        <v>43473</v>
      </c>
      <c r="G23" s="2">
        <f ca="1">DATEDIF(EmpTable[[#This Row],[Start Date]],TODAY(),"Y")</f>
        <v>7</v>
      </c>
      <c r="H23" s="2" t="str" cm="1">
        <f t="array" aca="1" ref="H23" ca="1">_xlfn.IFS(G23&lt;=1,"Fresh",G23&lt;=3,"Junior",G23&lt;=7,"Teamlead",G23&gt;=7,"manger")</f>
        <v>Teamlead</v>
      </c>
      <c r="I23" t="s">
        <v>73</v>
      </c>
      <c r="J23" t="s">
        <v>18</v>
      </c>
      <c r="K23" t="s">
        <v>42</v>
      </c>
      <c r="L23">
        <v>1290</v>
      </c>
      <c r="M23">
        <v>15480</v>
      </c>
      <c r="N23">
        <v>3</v>
      </c>
      <c r="O23" t="str" cm="1">
        <f t="array" ref="O23">_xlfn.IFS(EmpTable[[#This Row],[Job Rate]] &lt;=1,"LOW",N23&lt;=2,"LOW",N23&lt;=3,"MEDIUM",N23&gt;4,"HIGH")</f>
        <v>MEDIUM</v>
      </c>
      <c r="P23">
        <v>4</v>
      </c>
      <c r="Q23">
        <v>0</v>
      </c>
      <c r="R23">
        <v>109</v>
      </c>
    </row>
    <row r="24" spans="1:18" x14ac:dyDescent="0.3">
      <c r="A24">
        <v>23</v>
      </c>
      <c r="B24" t="s">
        <v>74</v>
      </c>
      <c r="C24" t="s">
        <v>75</v>
      </c>
      <c r="D24" t="str">
        <f>_xlfn.CONCAT(EmpTable[[#This Row],[First Name]],EmpTable[[#This Row],[Last Name]])</f>
        <v>RiadSahalul</v>
      </c>
      <c r="E24" t="s">
        <v>32</v>
      </c>
      <c r="F24" s="1">
        <v>43783</v>
      </c>
      <c r="G24" s="2">
        <f ca="1">DATEDIF(EmpTable[[#This Row],[Start Date]],TODAY(),"Y")</f>
        <v>6</v>
      </c>
      <c r="H24" s="2" t="str" cm="1">
        <f t="array" aca="1" ref="H24" ca="1">_xlfn.IFS(G24&lt;=1,"Fresh",G24&lt;=3,"Junior",G24&lt;=7,"Teamlead",G24&gt;=7,"manger")</f>
        <v>Teamlead</v>
      </c>
      <c r="I24" t="s">
        <v>76</v>
      </c>
      <c r="J24" t="s">
        <v>22</v>
      </c>
      <c r="K24" t="s">
        <v>42</v>
      </c>
      <c r="L24">
        <v>1764</v>
      </c>
      <c r="M24">
        <v>21168</v>
      </c>
      <c r="N24">
        <v>3</v>
      </c>
      <c r="O24" t="str" cm="1">
        <f t="array" ref="O24">_xlfn.IFS(EmpTable[[#This Row],[Job Rate]] &lt;=1,"LOW",N24&lt;=2,"LOW",N24&lt;=3,"MEDIUM",N24&gt;4,"HIGH")</f>
        <v>MEDIUM</v>
      </c>
      <c r="P24">
        <v>0</v>
      </c>
      <c r="Q24">
        <v>0</v>
      </c>
      <c r="R24">
        <v>111</v>
      </c>
    </row>
    <row r="25" spans="1:18" x14ac:dyDescent="0.3">
      <c r="A25">
        <v>24</v>
      </c>
      <c r="B25" t="s">
        <v>30</v>
      </c>
      <c r="C25" t="s">
        <v>30</v>
      </c>
      <c r="D25" t="str">
        <f>_xlfn.CONCAT(EmpTable[[#This Row],[First Name]],EmpTable[[#This Row],[Last Name]])</f>
        <v>AhmadAhmad</v>
      </c>
      <c r="E25" t="s">
        <v>32</v>
      </c>
      <c r="F25" s="1">
        <v>43755</v>
      </c>
      <c r="G25" s="2">
        <f ca="1">DATEDIF(EmpTable[[#This Row],[Start Date]],TODAY(),"Y")</f>
        <v>6</v>
      </c>
      <c r="H25" s="2" t="str" cm="1">
        <f t="array" aca="1" ref="H25" ca="1">_xlfn.IFS(G25&lt;=1,"Fresh",G25&lt;=3,"Junior",G25&lt;=7,"Teamlead",G25&gt;=7,"manger")</f>
        <v>Teamlead</v>
      </c>
      <c r="I25" t="s">
        <v>77</v>
      </c>
      <c r="J25" t="s">
        <v>22</v>
      </c>
      <c r="K25" t="s">
        <v>19</v>
      </c>
      <c r="L25">
        <v>2682</v>
      </c>
      <c r="M25">
        <v>32184</v>
      </c>
      <c r="N25">
        <v>4.5</v>
      </c>
      <c r="O25" t="str" cm="1">
        <f t="array" ref="O25">_xlfn.IFS(EmpTable[[#This Row],[Job Rate]] &lt;=1,"LOW",N25&lt;=2,"LOW",N25&lt;=3,"MEDIUM",N25&gt;4,"HIGH")</f>
        <v>HIGH</v>
      </c>
      <c r="P25">
        <v>1</v>
      </c>
      <c r="Q25">
        <v>0</v>
      </c>
      <c r="R25">
        <v>32</v>
      </c>
    </row>
    <row r="26" spans="1:18" x14ac:dyDescent="0.3">
      <c r="A26">
        <v>25</v>
      </c>
      <c r="B26" t="s">
        <v>33</v>
      </c>
      <c r="C26" t="s">
        <v>78</v>
      </c>
      <c r="D26" t="str">
        <f>_xlfn.CONCAT(EmpTable[[#This Row],[First Name]],EmpTable[[#This Row],[Last Name]])</f>
        <v>MuhamadAltarah</v>
      </c>
      <c r="E26" t="s">
        <v>32</v>
      </c>
      <c r="F26" s="1">
        <v>44178</v>
      </c>
      <c r="G26" s="2">
        <f ca="1">DATEDIF(EmpTable[[#This Row],[Start Date]],TODAY(),"Y")</f>
        <v>5</v>
      </c>
      <c r="H26" s="2" t="str" cm="1">
        <f t="array" aca="1" ref="H26" ca="1">_xlfn.IFS(G26&lt;=1,"Fresh",G26&lt;=3,"Junior",G26&lt;=7,"Teamlead",G26&gt;=7,"manger")</f>
        <v>Teamlead</v>
      </c>
      <c r="I26" t="s">
        <v>50</v>
      </c>
      <c r="J26" t="s">
        <v>18</v>
      </c>
      <c r="K26" t="s">
        <v>36</v>
      </c>
      <c r="L26">
        <v>3044</v>
      </c>
      <c r="M26">
        <v>36528</v>
      </c>
      <c r="N26">
        <v>3</v>
      </c>
      <c r="O26" t="str" cm="1">
        <f t="array" ref="O26">_xlfn.IFS(EmpTable[[#This Row],[Job Rate]] &lt;=1,"LOW",N26&lt;=2,"LOW",N26&lt;=3,"MEDIUM",N26&gt;4,"HIGH")</f>
        <v>MEDIUM</v>
      </c>
      <c r="P26">
        <v>6</v>
      </c>
      <c r="Q26">
        <v>0</v>
      </c>
      <c r="R26">
        <v>94</v>
      </c>
    </row>
    <row r="27" spans="1:18" x14ac:dyDescent="0.3">
      <c r="A27">
        <v>26</v>
      </c>
      <c r="B27" t="s">
        <v>79</v>
      </c>
      <c r="C27" t="s">
        <v>80</v>
      </c>
      <c r="D27" t="str">
        <f>_xlfn.CONCAT(EmpTable[[#This Row],[First Name]],EmpTable[[#This Row],[Last Name]])</f>
        <v>LwnaAbu</v>
      </c>
      <c r="E27" t="s">
        <v>307</v>
      </c>
      <c r="F27" s="1">
        <v>44045</v>
      </c>
      <c r="G27" s="2">
        <f ca="1">DATEDIF(EmpTable[[#This Row],[Start Date]],TODAY(),"Y")</f>
        <v>5</v>
      </c>
      <c r="H27" s="2" t="str" cm="1">
        <f t="array" aca="1" ref="H27" ca="1">_xlfn.IFS(G27&lt;=1,"Fresh",G27&lt;=3,"Junior",G27&lt;=7,"Teamlead",G27&gt;=7,"manger")</f>
        <v>Teamlead</v>
      </c>
      <c r="I27" t="s">
        <v>35</v>
      </c>
      <c r="J27" t="s">
        <v>18</v>
      </c>
      <c r="K27" t="s">
        <v>42</v>
      </c>
      <c r="L27">
        <v>890</v>
      </c>
      <c r="M27">
        <v>10680</v>
      </c>
      <c r="N27">
        <v>4.5</v>
      </c>
      <c r="O27" t="str" cm="1">
        <f t="array" ref="O27">_xlfn.IFS(EmpTable[[#This Row],[Job Rate]] &lt;=1,"LOW",N27&lt;=2,"LOW",N27&lt;=3,"MEDIUM",N27&gt;4,"HIGH")</f>
        <v>HIGH</v>
      </c>
      <c r="P27">
        <v>0</v>
      </c>
      <c r="Q27">
        <v>0</v>
      </c>
      <c r="R27">
        <v>13</v>
      </c>
    </row>
    <row r="28" spans="1:18" x14ac:dyDescent="0.3">
      <c r="A28">
        <v>27</v>
      </c>
      <c r="B28" t="s">
        <v>72</v>
      </c>
      <c r="C28" t="s">
        <v>81</v>
      </c>
      <c r="D28" t="str">
        <f>_xlfn.CONCAT(EmpTable[[#This Row],[First Name]],EmpTable[[#This Row],[Last Name]])</f>
        <v>JalalAlmuluhi</v>
      </c>
      <c r="E28" t="s">
        <v>32</v>
      </c>
      <c r="F28" s="1">
        <v>43437</v>
      </c>
      <c r="G28" s="2">
        <f ca="1">DATEDIF(EmpTable[[#This Row],[Start Date]],TODAY(),"Y")</f>
        <v>7</v>
      </c>
      <c r="H28" s="2" t="str" cm="1">
        <f t="array" aca="1" ref="H28" ca="1">_xlfn.IFS(G28&lt;=1,"Fresh",G28&lt;=3,"Junior",G28&lt;=7,"Teamlead",G28&gt;=7,"manger")</f>
        <v>Teamlead</v>
      </c>
      <c r="I28" t="s">
        <v>17</v>
      </c>
      <c r="J28" t="s">
        <v>18</v>
      </c>
      <c r="K28" t="s">
        <v>19</v>
      </c>
      <c r="L28">
        <v>2207</v>
      </c>
      <c r="M28">
        <v>26484</v>
      </c>
      <c r="N28">
        <v>5</v>
      </c>
      <c r="O28" t="str" cm="1">
        <f t="array" ref="O28">_xlfn.IFS(EmpTable[[#This Row],[Job Rate]] &lt;=1,"LOW",N28&lt;=2,"LOW",N28&lt;=3,"MEDIUM",N28&gt;4,"HIGH")</f>
        <v>HIGH</v>
      </c>
      <c r="P28">
        <v>0</v>
      </c>
      <c r="Q28">
        <v>0</v>
      </c>
      <c r="R28">
        <v>70</v>
      </c>
    </row>
    <row r="29" spans="1:18" x14ac:dyDescent="0.3">
      <c r="A29">
        <v>28</v>
      </c>
      <c r="B29" t="s">
        <v>82</v>
      </c>
      <c r="C29" t="s">
        <v>83</v>
      </c>
      <c r="D29" t="str">
        <f>_xlfn.CONCAT(EmpTable[[#This Row],[First Name]],EmpTable[[#This Row],[Last Name]])</f>
        <v>RanaMius</v>
      </c>
      <c r="E29" t="s">
        <v>307</v>
      </c>
      <c r="F29" s="1">
        <v>43530</v>
      </c>
      <c r="G29" s="2">
        <f ca="1">DATEDIF(EmpTable[[#This Row],[Start Date]],TODAY(),"Y")</f>
        <v>7</v>
      </c>
      <c r="H29" s="2" t="str" cm="1">
        <f t="array" aca="1" ref="H29" ca="1">_xlfn.IFS(G29&lt;=1,"Fresh",G29&lt;=3,"Junior",G29&lt;=7,"Teamlead",G29&gt;=7,"manger")</f>
        <v>Teamlead</v>
      </c>
      <c r="I29" t="s">
        <v>28</v>
      </c>
      <c r="J29" t="s">
        <v>22</v>
      </c>
      <c r="K29" t="s">
        <v>19</v>
      </c>
      <c r="L29">
        <v>2136</v>
      </c>
      <c r="M29">
        <v>25632</v>
      </c>
      <c r="N29">
        <v>4.5</v>
      </c>
      <c r="O29" t="str" cm="1">
        <f t="array" ref="O29">_xlfn.IFS(EmpTable[[#This Row],[Job Rate]] &lt;=1,"LOW",N29&lt;=2,"LOW",N29&lt;=3,"MEDIUM",N29&gt;4,"HIGH")</f>
        <v>HIGH</v>
      </c>
      <c r="P29">
        <v>1</v>
      </c>
      <c r="Q29">
        <v>0</v>
      </c>
      <c r="R29">
        <v>9</v>
      </c>
    </row>
    <row r="30" spans="1:18" x14ac:dyDescent="0.3">
      <c r="A30">
        <v>29</v>
      </c>
      <c r="B30" t="s">
        <v>84</v>
      </c>
      <c r="C30" t="s">
        <v>85</v>
      </c>
      <c r="D30" t="str">
        <f>_xlfn.CONCAT(EmpTable[[#This Row],[First Name]],EmpTable[[#This Row],[Last Name]])</f>
        <v>LinaAljabaan</v>
      </c>
      <c r="E30" t="s">
        <v>307</v>
      </c>
      <c r="F30" s="1">
        <v>43815</v>
      </c>
      <c r="G30" s="2">
        <f ca="1">DATEDIF(EmpTable[[#This Row],[Start Date]],TODAY(),"Y")</f>
        <v>6</v>
      </c>
      <c r="H30" s="2" t="str" cm="1">
        <f t="array" aca="1" ref="H30" ca="1">_xlfn.IFS(G30&lt;=1,"Fresh",G30&lt;=3,"Junior",G30&lt;=7,"Teamlead",G30&gt;=7,"manger")</f>
        <v>Teamlead</v>
      </c>
      <c r="I30" t="s">
        <v>17</v>
      </c>
      <c r="J30" t="s">
        <v>18</v>
      </c>
      <c r="K30" t="s">
        <v>42</v>
      </c>
      <c r="L30">
        <v>1161</v>
      </c>
      <c r="M30">
        <v>13932</v>
      </c>
      <c r="N30">
        <v>5</v>
      </c>
      <c r="O30" t="str" cm="1">
        <f t="array" ref="O30">_xlfn.IFS(EmpTable[[#This Row],[Job Rate]] &lt;=1,"LOW",N30&lt;=2,"LOW",N30&lt;=3,"MEDIUM",N30&gt;4,"HIGH")</f>
        <v>HIGH</v>
      </c>
      <c r="P30">
        <v>0</v>
      </c>
      <c r="Q30">
        <v>1</v>
      </c>
      <c r="R30">
        <v>97</v>
      </c>
    </row>
    <row r="31" spans="1:18" x14ac:dyDescent="0.3">
      <c r="A31">
        <v>30</v>
      </c>
      <c r="B31" t="s">
        <v>86</v>
      </c>
      <c r="C31" t="s">
        <v>87</v>
      </c>
      <c r="D31" t="str">
        <f>_xlfn.CONCAT(EmpTable[[#This Row],[First Name]],EmpTable[[#This Row],[Last Name]])</f>
        <v>RamiShanan</v>
      </c>
      <c r="E31" t="s">
        <v>32</v>
      </c>
      <c r="F31" s="1">
        <v>43690</v>
      </c>
      <c r="G31" s="2">
        <f ca="1">DATEDIF(EmpTable[[#This Row],[Start Date]],TODAY(),"Y")</f>
        <v>6</v>
      </c>
      <c r="H31" s="2" t="str" cm="1">
        <f t="array" aca="1" ref="H31" ca="1">_xlfn.IFS(G31&lt;=1,"Fresh",G31&lt;=3,"Junior",G31&lt;=7,"Teamlead",G31&gt;=7,"manger")</f>
        <v>Teamlead</v>
      </c>
      <c r="I31" t="s">
        <v>88</v>
      </c>
      <c r="J31" t="s">
        <v>29</v>
      </c>
      <c r="K31" t="s">
        <v>19</v>
      </c>
      <c r="L31">
        <v>830</v>
      </c>
      <c r="M31">
        <v>9960</v>
      </c>
      <c r="N31">
        <v>5</v>
      </c>
      <c r="O31" t="str" cm="1">
        <f t="array" ref="O31">_xlfn.IFS(EmpTable[[#This Row],[Job Rate]] &lt;=1,"LOW",N31&lt;=2,"LOW",N31&lt;=3,"MEDIUM",N31&gt;4,"HIGH")</f>
        <v>HIGH</v>
      </c>
      <c r="P31">
        <v>0</v>
      </c>
      <c r="Q31">
        <v>0</v>
      </c>
      <c r="R31">
        <v>71</v>
      </c>
    </row>
    <row r="32" spans="1:18" x14ac:dyDescent="0.3">
      <c r="A32">
        <v>31</v>
      </c>
      <c r="B32" t="s">
        <v>89</v>
      </c>
      <c r="C32" t="s">
        <v>90</v>
      </c>
      <c r="D32" t="str">
        <f>_xlfn.CONCAT(EmpTable[[#This Row],[First Name]],EmpTable[[#This Row],[Last Name]])</f>
        <v>EalaAlhaj</v>
      </c>
      <c r="E32" t="s">
        <v>307</v>
      </c>
      <c r="F32" s="1">
        <v>43991</v>
      </c>
      <c r="G32" s="2">
        <f ca="1">DATEDIF(EmpTable[[#This Row],[Start Date]],TODAY(),"Y")</f>
        <v>5</v>
      </c>
      <c r="H32" s="2" t="str" cm="1">
        <f t="array" aca="1" ref="H32" ca="1">_xlfn.IFS(G32&lt;=1,"Fresh",G32&lt;=3,"Junior",G32&lt;=7,"Teamlead",G32&gt;=7,"manger")</f>
        <v>Teamlead</v>
      </c>
      <c r="I32" t="s">
        <v>77</v>
      </c>
      <c r="J32" t="s">
        <v>22</v>
      </c>
      <c r="K32" t="s">
        <v>19</v>
      </c>
      <c r="L32">
        <v>2977</v>
      </c>
      <c r="M32">
        <v>35724</v>
      </c>
      <c r="N32">
        <v>5</v>
      </c>
      <c r="O32" t="str" cm="1">
        <f t="array" ref="O32">_xlfn.IFS(EmpTable[[#This Row],[Job Rate]] &lt;=1,"LOW",N32&lt;=2,"LOW",N32&lt;=3,"MEDIUM",N32&gt;4,"HIGH")</f>
        <v>HIGH</v>
      </c>
      <c r="P32">
        <v>0</v>
      </c>
      <c r="Q32">
        <v>0</v>
      </c>
      <c r="R32">
        <v>100</v>
      </c>
    </row>
    <row r="33" spans="1:18" x14ac:dyDescent="0.3">
      <c r="A33">
        <v>32</v>
      </c>
      <c r="B33" t="s">
        <v>91</v>
      </c>
      <c r="C33" t="s">
        <v>92</v>
      </c>
      <c r="D33" t="str">
        <f>_xlfn.CONCAT(EmpTable[[#This Row],[First Name]],EmpTable[[#This Row],[Last Name]])</f>
        <v>GhalibZakianiin</v>
      </c>
      <c r="E33" t="s">
        <v>32</v>
      </c>
      <c r="F33" s="1">
        <v>43604</v>
      </c>
      <c r="G33" s="2">
        <f ca="1">DATEDIF(EmpTable[[#This Row],[Start Date]],TODAY(),"Y")</f>
        <v>6</v>
      </c>
      <c r="H33" s="2" t="str" cm="1">
        <f t="array" aca="1" ref="H33" ca="1">_xlfn.IFS(G33&lt;=1,"Fresh",G33&lt;=3,"Junior",G33&lt;=7,"Teamlead",G33&gt;=7,"manger")</f>
        <v>Teamlead</v>
      </c>
      <c r="I33" t="s">
        <v>93</v>
      </c>
      <c r="J33" t="s">
        <v>48</v>
      </c>
      <c r="K33" t="s">
        <v>36</v>
      </c>
      <c r="L33">
        <v>3151</v>
      </c>
      <c r="M33">
        <v>37812</v>
      </c>
      <c r="N33">
        <v>3</v>
      </c>
      <c r="O33" t="str" cm="1">
        <f t="array" ref="O33">_xlfn.IFS(EmpTable[[#This Row],[Job Rate]] &lt;=1,"LOW",N33&lt;=2,"LOW",N33&lt;=3,"MEDIUM",N33&gt;4,"HIGH")</f>
        <v>MEDIUM</v>
      </c>
      <c r="P33">
        <v>0</v>
      </c>
      <c r="Q33">
        <v>5</v>
      </c>
      <c r="R33">
        <v>48</v>
      </c>
    </row>
    <row r="34" spans="1:18" x14ac:dyDescent="0.3">
      <c r="A34">
        <v>33</v>
      </c>
      <c r="B34" t="s">
        <v>33</v>
      </c>
      <c r="C34" t="s">
        <v>94</v>
      </c>
      <c r="D34" t="str">
        <f>_xlfn.CONCAT(EmpTable[[#This Row],[First Name]],EmpTable[[#This Row],[Last Name]])</f>
        <v>MuhamadEurul</v>
      </c>
      <c r="E34" t="s">
        <v>32</v>
      </c>
      <c r="F34" s="1">
        <v>42858</v>
      </c>
      <c r="G34" s="2">
        <f ca="1">DATEDIF(EmpTable[[#This Row],[Start Date]],TODAY(),"Y")</f>
        <v>8</v>
      </c>
      <c r="H34" s="2" t="str" cm="1">
        <f t="array" aca="1" ref="H34" ca="1">_xlfn.IFS(G34&lt;=1,"Fresh",G34&lt;=3,"Junior",G34&lt;=7,"Teamlead",G34&gt;=7,"manger")</f>
        <v>manger</v>
      </c>
      <c r="I34" t="s">
        <v>77</v>
      </c>
      <c r="J34" t="s">
        <v>18</v>
      </c>
      <c r="K34" t="s">
        <v>36</v>
      </c>
      <c r="L34">
        <v>1551</v>
      </c>
      <c r="M34">
        <v>18612</v>
      </c>
      <c r="N34">
        <v>1</v>
      </c>
      <c r="O34" t="str" cm="1">
        <f t="array" ref="O34">_xlfn.IFS(EmpTable[[#This Row],[Job Rate]] &lt;=1,"LOW",N34&lt;=2,"LOW",N34&lt;=3,"MEDIUM",N34&gt;4,"HIGH")</f>
        <v>LOW</v>
      </c>
      <c r="P34">
        <v>0</v>
      </c>
      <c r="Q34">
        <v>0</v>
      </c>
      <c r="R34">
        <v>148</v>
      </c>
    </row>
    <row r="35" spans="1:18" x14ac:dyDescent="0.3">
      <c r="A35">
        <v>34</v>
      </c>
      <c r="B35" t="s">
        <v>95</v>
      </c>
      <c r="C35" t="s">
        <v>96</v>
      </c>
      <c r="D35" t="str">
        <f>_xlfn.CONCAT(EmpTable[[#This Row],[First Name]],EmpTable[[#This Row],[Last Name]])</f>
        <v>EizatGhanim</v>
      </c>
      <c r="E35" t="s">
        <v>32</v>
      </c>
      <c r="F35" s="1">
        <v>42907</v>
      </c>
      <c r="G35" s="2">
        <f ca="1">DATEDIF(EmpTable[[#This Row],[Start Date]],TODAY(),"Y")</f>
        <v>8</v>
      </c>
      <c r="H35" s="2" t="str" cm="1">
        <f t="array" aca="1" ref="H35" ca="1">_xlfn.IFS(G35&lt;=1,"Fresh",G35&lt;=3,"Junior",G35&lt;=7,"Teamlead",G35&gt;=7,"manger")</f>
        <v>manger</v>
      </c>
      <c r="I35" t="s">
        <v>35</v>
      </c>
      <c r="J35" t="s">
        <v>29</v>
      </c>
      <c r="K35" t="s">
        <v>60</v>
      </c>
      <c r="L35">
        <v>2099</v>
      </c>
      <c r="M35">
        <v>25188</v>
      </c>
      <c r="N35">
        <v>1</v>
      </c>
      <c r="O35" t="str" cm="1">
        <f t="array" ref="O35">_xlfn.IFS(EmpTable[[#This Row],[Job Rate]] &lt;=1,"LOW",N35&lt;=2,"LOW",N35&lt;=3,"MEDIUM",N35&gt;4,"HIGH")</f>
        <v>LOW</v>
      </c>
      <c r="P35">
        <v>0</v>
      </c>
      <c r="Q35">
        <v>0</v>
      </c>
      <c r="R35">
        <v>5</v>
      </c>
    </row>
    <row r="36" spans="1:18" x14ac:dyDescent="0.3">
      <c r="A36">
        <v>35</v>
      </c>
      <c r="B36" t="s">
        <v>30</v>
      </c>
      <c r="C36" t="s">
        <v>97</v>
      </c>
      <c r="D36" t="str">
        <f>_xlfn.CONCAT(EmpTable[[#This Row],[First Name]],EmpTable[[#This Row],[Last Name]])</f>
        <v>AhmadSwyd</v>
      </c>
      <c r="E36" t="s">
        <v>32</v>
      </c>
      <c r="F36" s="1">
        <v>42767</v>
      </c>
      <c r="G36" s="2">
        <f ca="1">DATEDIF(EmpTable[[#This Row],[Start Date]],TODAY(),"Y")</f>
        <v>9</v>
      </c>
      <c r="H36" s="2" t="str" cm="1">
        <f t="array" aca="1" ref="H36" ca="1">_xlfn.IFS(G36&lt;=1,"Fresh",G36&lt;=3,"Junior",G36&lt;=7,"Teamlead",G36&gt;=7,"manger")</f>
        <v>manger</v>
      </c>
      <c r="I36" t="s">
        <v>39</v>
      </c>
      <c r="J36" t="s">
        <v>18</v>
      </c>
      <c r="K36" t="s">
        <v>36</v>
      </c>
      <c r="L36">
        <v>808</v>
      </c>
      <c r="M36">
        <v>9696</v>
      </c>
      <c r="N36">
        <v>4.5</v>
      </c>
      <c r="O36" t="str" cm="1">
        <f t="array" ref="O36">_xlfn.IFS(EmpTable[[#This Row],[Job Rate]] &lt;=1,"LOW",N36&lt;=2,"LOW",N36&lt;=3,"MEDIUM",N36&gt;4,"HIGH")</f>
        <v>HIGH</v>
      </c>
      <c r="P36">
        <v>1</v>
      </c>
      <c r="Q36">
        <v>0</v>
      </c>
      <c r="R36">
        <v>7</v>
      </c>
    </row>
    <row r="37" spans="1:18" x14ac:dyDescent="0.3">
      <c r="A37">
        <v>36</v>
      </c>
      <c r="B37" t="s">
        <v>33</v>
      </c>
      <c r="C37" t="s">
        <v>98</v>
      </c>
      <c r="D37" t="str">
        <f>_xlfn.CONCAT(EmpTable[[#This Row],[First Name]],EmpTable[[#This Row],[Last Name]])</f>
        <v>MuhamadAleass</v>
      </c>
      <c r="E37" t="s">
        <v>32</v>
      </c>
      <c r="F37" s="1">
        <v>43731</v>
      </c>
      <c r="G37" s="2">
        <f ca="1">DATEDIF(EmpTable[[#This Row],[Start Date]],TODAY(),"Y")</f>
        <v>6</v>
      </c>
      <c r="H37" s="2" t="str" cm="1">
        <f t="array" aca="1" ref="H37" ca="1">_xlfn.IFS(G37&lt;=1,"Fresh",G37&lt;=3,"Junior",G37&lt;=7,"Teamlead",G37&gt;=7,"manger")</f>
        <v>Teamlead</v>
      </c>
      <c r="I37" t="s">
        <v>28</v>
      </c>
      <c r="J37" t="s">
        <v>22</v>
      </c>
      <c r="K37" t="s">
        <v>42</v>
      </c>
      <c r="L37">
        <v>984</v>
      </c>
      <c r="M37">
        <v>11808</v>
      </c>
      <c r="N37">
        <v>4.5</v>
      </c>
      <c r="O37" t="str" cm="1">
        <f t="array" ref="O37">_xlfn.IFS(EmpTable[[#This Row],[Job Rate]] &lt;=1,"LOW",N37&lt;=2,"LOW",N37&lt;=3,"MEDIUM",N37&gt;4,"HIGH")</f>
        <v>HIGH</v>
      </c>
      <c r="P37">
        <v>6</v>
      </c>
      <c r="Q37">
        <v>0</v>
      </c>
      <c r="R37">
        <v>37</v>
      </c>
    </row>
    <row r="38" spans="1:18" x14ac:dyDescent="0.3">
      <c r="A38">
        <v>37</v>
      </c>
      <c r="B38" t="s">
        <v>99</v>
      </c>
      <c r="C38" t="s">
        <v>100</v>
      </c>
      <c r="D38" t="str">
        <f>_xlfn.CONCAT(EmpTable[[#This Row],[First Name]],EmpTable[[#This Row],[Last Name]])</f>
        <v>RimaAlAsfar</v>
      </c>
      <c r="E38" t="s">
        <v>307</v>
      </c>
      <c r="F38" s="1">
        <v>42396</v>
      </c>
      <c r="G38" s="2">
        <f ca="1">DATEDIF(EmpTable[[#This Row],[Start Date]],TODAY(),"Y")</f>
        <v>10</v>
      </c>
      <c r="H38" s="2" t="str" cm="1">
        <f t="array" aca="1" ref="H38" ca="1">_xlfn.IFS(G38&lt;=1,"Fresh",G38&lt;=3,"Junior",G38&lt;=7,"Teamlead",G38&gt;=7,"manger")</f>
        <v>manger</v>
      </c>
      <c r="I38" t="s">
        <v>77</v>
      </c>
      <c r="J38" t="s">
        <v>18</v>
      </c>
      <c r="K38" t="s">
        <v>36</v>
      </c>
      <c r="L38">
        <v>1011</v>
      </c>
      <c r="M38">
        <v>12132</v>
      </c>
      <c r="N38">
        <v>5</v>
      </c>
      <c r="O38" t="str" cm="1">
        <f t="array" ref="O38">_xlfn.IFS(EmpTable[[#This Row],[Job Rate]] &lt;=1,"LOW",N38&lt;=2,"LOW",N38&lt;=3,"MEDIUM",N38&gt;4,"HIGH")</f>
        <v>HIGH</v>
      </c>
      <c r="P38">
        <v>0</v>
      </c>
      <c r="Q38">
        <v>3</v>
      </c>
      <c r="R38">
        <v>5</v>
      </c>
    </row>
    <row r="39" spans="1:18" x14ac:dyDescent="0.3">
      <c r="A39">
        <v>38</v>
      </c>
      <c r="B39" t="s">
        <v>101</v>
      </c>
      <c r="C39" t="s">
        <v>102</v>
      </c>
      <c r="D39" t="str">
        <f>_xlfn.CONCAT(EmpTable[[#This Row],[First Name]],EmpTable[[#This Row],[Last Name]])</f>
        <v>ZaynAleabdyn Zaetar</v>
      </c>
      <c r="E39" t="s">
        <v>307</v>
      </c>
      <c r="F39" s="1">
        <v>44164</v>
      </c>
      <c r="G39" s="2">
        <f ca="1">DATEDIF(EmpTable[[#This Row],[Start Date]],TODAY(),"Y")</f>
        <v>5</v>
      </c>
      <c r="H39" s="2" t="str" cm="1">
        <f t="array" aca="1" ref="H39" ca="1">_xlfn.IFS(G39&lt;=1,"Fresh",G39&lt;=3,"Junior",G39&lt;=7,"Teamlead",G39&gt;=7,"manger")</f>
        <v>Teamlead</v>
      </c>
      <c r="I39" t="s">
        <v>17</v>
      </c>
      <c r="J39" t="s">
        <v>29</v>
      </c>
      <c r="K39" t="s">
        <v>19</v>
      </c>
      <c r="L39">
        <v>2026</v>
      </c>
      <c r="M39">
        <v>24312</v>
      </c>
      <c r="N39">
        <v>5</v>
      </c>
      <c r="O39" t="str" cm="1">
        <f t="array" ref="O39">_xlfn.IFS(EmpTable[[#This Row],[Job Rate]] &lt;=1,"LOW",N39&lt;=2,"LOW",N39&lt;=3,"MEDIUM",N39&gt;4,"HIGH")</f>
        <v>HIGH</v>
      </c>
      <c r="P39">
        <v>1</v>
      </c>
      <c r="Q39">
        <v>0</v>
      </c>
      <c r="R39">
        <v>3</v>
      </c>
    </row>
    <row r="40" spans="1:18" x14ac:dyDescent="0.3">
      <c r="A40">
        <v>39</v>
      </c>
      <c r="B40" t="s">
        <v>103</v>
      </c>
      <c r="C40" t="s">
        <v>104</v>
      </c>
      <c r="D40" t="str">
        <f>_xlfn.CONCAT(EmpTable[[#This Row],[First Name]],EmpTable[[#This Row],[Last Name]])</f>
        <v>HazimAlshshatim</v>
      </c>
      <c r="E40" t="s">
        <v>32</v>
      </c>
      <c r="F40" s="1">
        <v>43268</v>
      </c>
      <c r="G40" s="2">
        <f ca="1">DATEDIF(EmpTable[[#This Row],[Start Date]],TODAY(),"Y")</f>
        <v>7</v>
      </c>
      <c r="H40" s="2" t="str" cm="1">
        <f t="array" aca="1" ref="H40" ca="1">_xlfn.IFS(G40&lt;=1,"Fresh",G40&lt;=3,"Junior",G40&lt;=7,"Teamlead",G40&gt;=7,"manger")</f>
        <v>Teamlead</v>
      </c>
      <c r="I40" t="s">
        <v>17</v>
      </c>
      <c r="J40" t="s">
        <v>18</v>
      </c>
      <c r="K40" t="s">
        <v>42</v>
      </c>
      <c r="L40">
        <v>2801</v>
      </c>
      <c r="M40">
        <v>33612</v>
      </c>
      <c r="N40">
        <v>3</v>
      </c>
      <c r="O40" t="str" cm="1">
        <f t="array" ref="O40">_xlfn.IFS(EmpTable[[#This Row],[Job Rate]] &lt;=1,"LOW",N40&lt;=2,"LOW",N40&lt;=3,"MEDIUM",N40&gt;4,"HIGH")</f>
        <v>MEDIUM</v>
      </c>
      <c r="P40">
        <v>0</v>
      </c>
      <c r="Q40">
        <v>0</v>
      </c>
      <c r="R40">
        <v>9</v>
      </c>
    </row>
    <row r="41" spans="1:18" x14ac:dyDescent="0.3">
      <c r="A41">
        <v>40</v>
      </c>
      <c r="B41" t="s">
        <v>105</v>
      </c>
      <c r="C41" t="s">
        <v>106</v>
      </c>
      <c r="D41" t="str">
        <f>_xlfn.CONCAT(EmpTable[[#This Row],[First Name]],EmpTable[[#This Row],[Last Name]])</f>
        <v>DiaAlshahf</v>
      </c>
      <c r="E41" t="s">
        <v>32</v>
      </c>
      <c r="F41" s="1">
        <v>43722</v>
      </c>
      <c r="G41" s="2">
        <f ca="1">DATEDIF(EmpTable[[#This Row],[Start Date]],TODAY(),"Y")</f>
        <v>6</v>
      </c>
      <c r="H41" s="2" t="str" cm="1">
        <f t="array" aca="1" ref="H41" ca="1">_xlfn.IFS(G41&lt;=1,"Fresh",G41&lt;=3,"Junior",G41&lt;=7,"Teamlead",G41&gt;=7,"manger")</f>
        <v>Teamlead</v>
      </c>
      <c r="I41" t="s">
        <v>58</v>
      </c>
      <c r="J41" t="s">
        <v>29</v>
      </c>
      <c r="K41" t="s">
        <v>42</v>
      </c>
      <c r="L41">
        <v>3208</v>
      </c>
      <c r="M41">
        <v>38496</v>
      </c>
      <c r="N41">
        <v>3</v>
      </c>
      <c r="O41" t="str" cm="1">
        <f t="array" ref="O41">_xlfn.IFS(EmpTable[[#This Row],[Job Rate]] &lt;=1,"LOW",N41&lt;=2,"LOW",N41&lt;=3,"MEDIUM",N41&gt;4,"HIGH")</f>
        <v>MEDIUM</v>
      </c>
      <c r="P41">
        <v>0</v>
      </c>
      <c r="Q41">
        <v>0</v>
      </c>
      <c r="R41">
        <v>0</v>
      </c>
    </row>
    <row r="42" spans="1:18" x14ac:dyDescent="0.3">
      <c r="A42">
        <v>41</v>
      </c>
      <c r="B42" t="s">
        <v>67</v>
      </c>
      <c r="C42" t="s">
        <v>107</v>
      </c>
      <c r="D42" t="str">
        <f>_xlfn.CONCAT(EmpTable[[#This Row],[First Name]],EmpTable[[#This Row],[Last Name]])</f>
        <v>AyhamAlmusaa</v>
      </c>
      <c r="E42" t="s">
        <v>32</v>
      </c>
      <c r="F42" s="1">
        <v>43581</v>
      </c>
      <c r="G42" s="2">
        <f ca="1">DATEDIF(EmpTable[[#This Row],[Start Date]],TODAY(),"Y")</f>
        <v>6</v>
      </c>
      <c r="H42" s="2" t="str" cm="1">
        <f t="array" aca="1" ref="H42" ca="1">_xlfn.IFS(G42&lt;=1,"Fresh",G42&lt;=3,"Junior",G42&lt;=7,"Teamlead",G42&gt;=7,"manger")</f>
        <v>Teamlead</v>
      </c>
      <c r="I42" t="s">
        <v>28</v>
      </c>
      <c r="J42" t="s">
        <v>22</v>
      </c>
      <c r="K42" t="s">
        <v>60</v>
      </c>
      <c r="L42">
        <v>2129</v>
      </c>
      <c r="M42">
        <v>25548</v>
      </c>
      <c r="N42">
        <v>4.5</v>
      </c>
      <c r="O42" t="str" cm="1">
        <f t="array" ref="O42">_xlfn.IFS(EmpTable[[#This Row],[Job Rate]] &lt;=1,"LOW",N42&lt;=2,"LOW",N42&lt;=3,"MEDIUM",N42&gt;4,"HIGH")</f>
        <v>HIGH</v>
      </c>
      <c r="P42">
        <v>0</v>
      </c>
      <c r="Q42">
        <v>0</v>
      </c>
      <c r="R42">
        <v>26</v>
      </c>
    </row>
    <row r="43" spans="1:18" x14ac:dyDescent="0.3">
      <c r="A43">
        <v>42</v>
      </c>
      <c r="B43" t="s">
        <v>108</v>
      </c>
      <c r="C43" t="s">
        <v>109</v>
      </c>
      <c r="D43" t="str">
        <f>_xlfn.CONCAT(EmpTable[[#This Row],[First Name]],EmpTable[[#This Row],[Last Name]])</f>
        <v>Abd AllatifMabrukh</v>
      </c>
      <c r="E43" t="s">
        <v>32</v>
      </c>
      <c r="F43" s="1">
        <v>44175</v>
      </c>
      <c r="G43" s="2">
        <f ca="1">DATEDIF(EmpTable[[#This Row],[Start Date]],TODAY(),"Y")</f>
        <v>5</v>
      </c>
      <c r="H43" s="2" t="str" cm="1">
        <f t="array" aca="1" ref="H43" ca="1">_xlfn.IFS(G43&lt;=1,"Fresh",G43&lt;=3,"Junior",G43&lt;=7,"Teamlead",G43&gt;=7,"manger")</f>
        <v>Teamlead</v>
      </c>
      <c r="I43" t="s">
        <v>53</v>
      </c>
      <c r="J43" t="s">
        <v>18</v>
      </c>
      <c r="K43" t="s">
        <v>36</v>
      </c>
      <c r="L43">
        <v>3344</v>
      </c>
      <c r="M43">
        <v>40128</v>
      </c>
      <c r="N43">
        <v>5</v>
      </c>
      <c r="O43" t="str" cm="1">
        <f t="array" ref="O43">_xlfn.IFS(EmpTable[[#This Row],[Job Rate]] &lt;=1,"LOW",N43&lt;=2,"LOW",N43&lt;=3,"MEDIUM",N43&gt;4,"HIGH")</f>
        <v>HIGH</v>
      </c>
      <c r="P43">
        <v>0</v>
      </c>
      <c r="Q43">
        <v>0</v>
      </c>
      <c r="R43">
        <v>7</v>
      </c>
    </row>
    <row r="44" spans="1:18" x14ac:dyDescent="0.3">
      <c r="A44">
        <v>43</v>
      </c>
      <c r="B44" t="s">
        <v>66</v>
      </c>
      <c r="C44" t="s">
        <v>110</v>
      </c>
      <c r="D44" t="str">
        <f>_xlfn.CONCAT(EmpTable[[#This Row],[First Name]],EmpTable[[#This Row],[Last Name]])</f>
        <v>SalimAbumaeun</v>
      </c>
      <c r="E44" t="s">
        <v>32</v>
      </c>
      <c r="F44" s="1">
        <v>42916</v>
      </c>
      <c r="G44" s="2">
        <f ca="1">DATEDIF(EmpTable[[#This Row],[Start Date]],TODAY(),"Y")</f>
        <v>8</v>
      </c>
      <c r="H44" s="2" t="str" cm="1">
        <f t="array" aca="1" ref="H44" ca="1">_xlfn.IFS(G44&lt;=1,"Fresh",G44&lt;=3,"Junior",G44&lt;=7,"Teamlead",G44&gt;=7,"manger")</f>
        <v>manger</v>
      </c>
      <c r="I44" t="s">
        <v>41</v>
      </c>
      <c r="J44" t="s">
        <v>29</v>
      </c>
      <c r="K44" t="s">
        <v>42</v>
      </c>
      <c r="L44">
        <v>2836</v>
      </c>
      <c r="M44">
        <v>34032</v>
      </c>
      <c r="N44">
        <v>5</v>
      </c>
      <c r="O44" t="str" cm="1">
        <f t="array" ref="O44">_xlfn.IFS(EmpTable[[#This Row],[Job Rate]] &lt;=1,"LOW",N44&lt;=2,"LOW",N44&lt;=3,"MEDIUM",N44&gt;4,"HIGH")</f>
        <v>HIGH</v>
      </c>
      <c r="P44">
        <v>0</v>
      </c>
      <c r="Q44">
        <v>0</v>
      </c>
      <c r="R44">
        <v>14</v>
      </c>
    </row>
    <row r="45" spans="1:18" x14ac:dyDescent="0.3">
      <c r="A45">
        <v>44</v>
      </c>
      <c r="B45" t="s">
        <v>111</v>
      </c>
      <c r="C45" t="s">
        <v>112</v>
      </c>
      <c r="D45" t="str">
        <f>_xlfn.CONCAT(EmpTable[[#This Row],[First Name]],EmpTable[[#This Row],[Last Name]])</f>
        <v>RafatHamza</v>
      </c>
      <c r="E45" t="s">
        <v>32</v>
      </c>
      <c r="F45" s="1">
        <v>43954</v>
      </c>
      <c r="G45" s="2">
        <f ca="1">DATEDIF(EmpTable[[#This Row],[Start Date]],TODAY(),"Y")</f>
        <v>5</v>
      </c>
      <c r="H45" s="2" t="str" cm="1">
        <f t="array" aca="1" ref="H45" ca="1">_xlfn.IFS(G45&lt;=1,"Fresh",G45&lt;=3,"Junior",G45&lt;=7,"Teamlead",G45&gt;=7,"manger")</f>
        <v>Teamlead</v>
      </c>
      <c r="I45" t="s">
        <v>17</v>
      </c>
      <c r="J45" t="s">
        <v>22</v>
      </c>
      <c r="K45" t="s">
        <v>42</v>
      </c>
      <c r="L45">
        <v>1960</v>
      </c>
      <c r="M45">
        <v>23520</v>
      </c>
      <c r="N45">
        <v>3</v>
      </c>
      <c r="O45" t="str" cm="1">
        <f t="array" ref="O45">_xlfn.IFS(EmpTable[[#This Row],[Job Rate]] &lt;=1,"LOW",N45&lt;=2,"LOW",N45&lt;=3,"MEDIUM",N45&gt;4,"HIGH")</f>
        <v>MEDIUM</v>
      </c>
      <c r="P45">
        <v>0</v>
      </c>
      <c r="Q45">
        <v>0</v>
      </c>
      <c r="R45">
        <v>9</v>
      </c>
    </row>
    <row r="46" spans="1:18" x14ac:dyDescent="0.3">
      <c r="A46">
        <v>45</v>
      </c>
      <c r="B46" t="s">
        <v>30</v>
      </c>
      <c r="C46" t="s">
        <v>113</v>
      </c>
      <c r="D46" t="str">
        <f>_xlfn.CONCAT(EmpTable[[#This Row],[First Name]],EmpTable[[#This Row],[Last Name]])</f>
        <v>AhmadLaylana</v>
      </c>
      <c r="E46" t="s">
        <v>32</v>
      </c>
      <c r="F46" s="1">
        <v>42701</v>
      </c>
      <c r="G46" s="2">
        <f ca="1">DATEDIF(EmpTable[[#This Row],[Start Date]],TODAY(),"Y")</f>
        <v>9</v>
      </c>
      <c r="H46" s="2" t="str" cm="1">
        <f t="array" aca="1" ref="H46" ca="1">_xlfn.IFS(G46&lt;=1,"Fresh",G46&lt;=3,"Junior",G46&lt;=7,"Teamlead",G46&gt;=7,"manger")</f>
        <v>manger</v>
      </c>
      <c r="I46" t="s">
        <v>53</v>
      </c>
      <c r="J46" t="s">
        <v>18</v>
      </c>
      <c r="K46" t="s">
        <v>42</v>
      </c>
      <c r="L46">
        <v>1478</v>
      </c>
      <c r="M46">
        <v>17736</v>
      </c>
      <c r="N46">
        <v>4.5</v>
      </c>
      <c r="O46" t="str" cm="1">
        <f t="array" ref="O46">_xlfn.IFS(EmpTable[[#This Row],[Job Rate]] &lt;=1,"LOW",N46&lt;=2,"LOW",N46&lt;=3,"MEDIUM",N46&gt;4,"HIGH")</f>
        <v>HIGH</v>
      </c>
      <c r="P46">
        <v>5</v>
      </c>
      <c r="Q46">
        <v>6</v>
      </c>
      <c r="R46">
        <v>7</v>
      </c>
    </row>
    <row r="47" spans="1:18" x14ac:dyDescent="0.3">
      <c r="A47">
        <v>46</v>
      </c>
      <c r="B47" t="s">
        <v>114</v>
      </c>
      <c r="C47" t="s">
        <v>115</v>
      </c>
      <c r="D47" t="str">
        <f>_xlfn.CONCAT(EmpTable[[#This Row],[First Name]],EmpTable[[#This Row],[Last Name]])</f>
        <v>LobnaaKhalifih</v>
      </c>
      <c r="E47" t="s">
        <v>307</v>
      </c>
      <c r="F47" s="1">
        <v>43817</v>
      </c>
      <c r="G47" s="2">
        <f ca="1">DATEDIF(EmpTable[[#This Row],[Start Date]],TODAY(),"Y")</f>
        <v>6</v>
      </c>
      <c r="H47" s="2" t="str" cm="1">
        <f t="array" aca="1" ref="H47" ca="1">_xlfn.IFS(G47&lt;=1,"Fresh",G47&lt;=3,"Junior",G47&lt;=7,"Teamlead",G47&gt;=7,"manger")</f>
        <v>Teamlead</v>
      </c>
      <c r="I47" t="s">
        <v>58</v>
      </c>
      <c r="J47" t="s">
        <v>29</v>
      </c>
      <c r="K47" t="s">
        <v>36</v>
      </c>
      <c r="L47">
        <v>1981</v>
      </c>
      <c r="M47">
        <v>23772</v>
      </c>
      <c r="N47">
        <v>2</v>
      </c>
      <c r="O47" t="str" cm="1">
        <f t="array" ref="O47">_xlfn.IFS(EmpTable[[#This Row],[Job Rate]] &lt;=1,"LOW",N47&lt;=2,"LOW",N47&lt;=3,"MEDIUM",N47&gt;4,"HIGH")</f>
        <v>LOW</v>
      </c>
      <c r="P47">
        <v>0</v>
      </c>
      <c r="Q47">
        <v>0</v>
      </c>
      <c r="R47">
        <v>3</v>
      </c>
    </row>
    <row r="48" spans="1:18" x14ac:dyDescent="0.3">
      <c r="A48">
        <v>47</v>
      </c>
      <c r="B48" t="s">
        <v>116</v>
      </c>
      <c r="C48" t="s">
        <v>117</v>
      </c>
      <c r="D48" t="str">
        <f>_xlfn.CONCAT(EmpTable[[#This Row],[First Name]],EmpTable[[#This Row],[Last Name]])</f>
        <v>SamiAlkhujih</v>
      </c>
      <c r="E48" t="s">
        <v>32</v>
      </c>
      <c r="F48" s="1">
        <v>43572</v>
      </c>
      <c r="G48" s="2">
        <f ca="1">DATEDIF(EmpTable[[#This Row],[Start Date]],TODAY(),"Y")</f>
        <v>6</v>
      </c>
      <c r="H48" s="2" t="str" cm="1">
        <f t="array" aca="1" ref="H48" ca="1">_xlfn.IFS(G48&lt;=1,"Fresh",G48&lt;=3,"Junior",G48&lt;=7,"Teamlead",G48&gt;=7,"manger")</f>
        <v>Teamlead</v>
      </c>
      <c r="I48" t="s">
        <v>118</v>
      </c>
      <c r="J48" t="s">
        <v>29</v>
      </c>
      <c r="K48" t="s">
        <v>42</v>
      </c>
      <c r="L48">
        <v>2064</v>
      </c>
      <c r="M48">
        <v>24768</v>
      </c>
      <c r="N48">
        <v>2</v>
      </c>
      <c r="O48" t="str" cm="1">
        <f t="array" ref="O48">_xlfn.IFS(EmpTable[[#This Row],[Job Rate]] &lt;=1,"LOW",N48&lt;=2,"LOW",N48&lt;=3,"MEDIUM",N48&gt;4,"HIGH")</f>
        <v>LOW</v>
      </c>
      <c r="P48">
        <v>0</v>
      </c>
      <c r="Q48">
        <v>0</v>
      </c>
      <c r="R48">
        <v>0</v>
      </c>
    </row>
    <row r="49" spans="1:18" x14ac:dyDescent="0.3">
      <c r="A49">
        <v>48</v>
      </c>
      <c r="B49" t="s">
        <v>119</v>
      </c>
      <c r="C49" t="s">
        <v>120</v>
      </c>
      <c r="D49" t="str">
        <f>_xlfn.CONCAT(EmpTable[[#This Row],[First Name]],EmpTable[[#This Row],[Last Name]])</f>
        <v>SalamAlealbi</v>
      </c>
      <c r="E49" t="s">
        <v>307</v>
      </c>
      <c r="F49" s="1">
        <v>42438</v>
      </c>
      <c r="G49" s="2">
        <f ca="1">DATEDIF(EmpTable[[#This Row],[Start Date]],TODAY(),"Y")</f>
        <v>10</v>
      </c>
      <c r="H49" s="2" t="str" cm="1">
        <f t="array" aca="1" ref="H49" ca="1">_xlfn.IFS(G49&lt;=1,"Fresh",G49&lt;=3,"Junior",G49&lt;=7,"Teamlead",G49&gt;=7,"manger")</f>
        <v>manger</v>
      </c>
      <c r="I49" t="s">
        <v>28</v>
      </c>
      <c r="J49" t="s">
        <v>18</v>
      </c>
      <c r="K49" t="s">
        <v>42</v>
      </c>
      <c r="L49">
        <v>1045</v>
      </c>
      <c r="M49">
        <v>12540</v>
      </c>
      <c r="N49">
        <v>5</v>
      </c>
      <c r="O49" t="str" cm="1">
        <f t="array" ref="O49">_xlfn.IFS(EmpTable[[#This Row],[Job Rate]] &lt;=1,"LOW",N49&lt;=2,"LOW",N49&lt;=3,"MEDIUM",N49&gt;4,"HIGH")</f>
        <v>HIGH</v>
      </c>
      <c r="P49">
        <v>1</v>
      </c>
      <c r="Q49">
        <v>0</v>
      </c>
      <c r="R49">
        <v>3</v>
      </c>
    </row>
    <row r="50" spans="1:18" x14ac:dyDescent="0.3">
      <c r="A50">
        <v>49</v>
      </c>
      <c r="B50" t="s">
        <v>121</v>
      </c>
      <c r="C50" t="s">
        <v>107</v>
      </c>
      <c r="D50" t="str">
        <f>_xlfn.CONCAT(EmpTable[[#This Row],[First Name]],EmpTable[[#This Row],[Last Name]])</f>
        <v>RimAlmusaa</v>
      </c>
      <c r="E50" t="s">
        <v>307</v>
      </c>
      <c r="F50" s="1">
        <v>43957</v>
      </c>
      <c r="G50" s="2">
        <f ca="1">DATEDIF(EmpTable[[#This Row],[Start Date]],TODAY(),"Y")</f>
        <v>5</v>
      </c>
      <c r="H50" s="2" t="str" cm="1">
        <f t="array" aca="1" ref="H50" ca="1">_xlfn.IFS(G50&lt;=1,"Fresh",G50&lt;=3,"Junior",G50&lt;=7,"Teamlead",G50&gt;=7,"manger")</f>
        <v>Teamlead</v>
      </c>
      <c r="I50" t="s">
        <v>28</v>
      </c>
      <c r="J50" t="s">
        <v>18</v>
      </c>
      <c r="K50" t="s">
        <v>19</v>
      </c>
      <c r="L50">
        <v>2022</v>
      </c>
      <c r="M50">
        <v>24264</v>
      </c>
      <c r="N50">
        <v>3</v>
      </c>
      <c r="O50" t="str" cm="1">
        <f t="array" ref="O50">_xlfn.IFS(EmpTable[[#This Row],[Job Rate]] &lt;=1,"LOW",N50&lt;=2,"LOW",N50&lt;=3,"MEDIUM",N50&gt;4,"HIGH")</f>
        <v>MEDIUM</v>
      </c>
      <c r="P50">
        <v>0</v>
      </c>
      <c r="Q50">
        <v>0</v>
      </c>
      <c r="R50">
        <v>1</v>
      </c>
    </row>
    <row r="51" spans="1:18" x14ac:dyDescent="0.3">
      <c r="A51">
        <v>50</v>
      </c>
      <c r="B51" t="s">
        <v>122</v>
      </c>
      <c r="C51" t="s">
        <v>123</v>
      </c>
      <c r="D51" t="str">
        <f>_xlfn.CONCAT(EmpTable[[#This Row],[First Name]],EmpTable[[#This Row],[Last Name]])</f>
        <v>GhadaAleasimii</v>
      </c>
      <c r="E51" t="s">
        <v>307</v>
      </c>
      <c r="F51" s="1">
        <v>43759</v>
      </c>
      <c r="G51" s="2">
        <f ca="1">DATEDIF(EmpTable[[#This Row],[Start Date]],TODAY(),"Y")</f>
        <v>6</v>
      </c>
      <c r="H51" s="2" t="str" cm="1">
        <f t="array" aca="1" ref="H51" ca="1">_xlfn.IFS(G51&lt;=1,"Fresh",G51&lt;=3,"Junior",G51&lt;=7,"Teamlead",G51&gt;=7,"manger")</f>
        <v>Teamlead</v>
      </c>
      <c r="I51" t="s">
        <v>77</v>
      </c>
      <c r="J51" t="s">
        <v>18</v>
      </c>
      <c r="K51" t="s">
        <v>36</v>
      </c>
      <c r="L51">
        <v>2383</v>
      </c>
      <c r="M51">
        <v>28596</v>
      </c>
      <c r="N51">
        <v>5</v>
      </c>
      <c r="O51" t="str" cm="1">
        <f t="array" ref="O51">_xlfn.IFS(EmpTable[[#This Row],[Job Rate]] &lt;=1,"LOW",N51&lt;=2,"LOW",N51&lt;=3,"MEDIUM",N51&gt;4,"HIGH")</f>
        <v>HIGH</v>
      </c>
      <c r="P51">
        <v>0</v>
      </c>
      <c r="Q51">
        <v>4</v>
      </c>
      <c r="R51">
        <v>1</v>
      </c>
    </row>
    <row r="52" spans="1:18" x14ac:dyDescent="0.3">
      <c r="A52">
        <v>51</v>
      </c>
      <c r="B52" t="s">
        <v>124</v>
      </c>
      <c r="C52" t="s">
        <v>33</v>
      </c>
      <c r="D52" t="str">
        <f>_xlfn.CONCAT(EmpTable[[#This Row],[First Name]],EmpTable[[#This Row],[Last Name]])</f>
        <v>Abd AlwahhabMuhamad</v>
      </c>
      <c r="E52" t="s">
        <v>32</v>
      </c>
      <c r="F52" s="1">
        <v>43403</v>
      </c>
      <c r="G52" s="2">
        <f ca="1">DATEDIF(EmpTable[[#This Row],[Start Date]],TODAY(),"Y")</f>
        <v>7</v>
      </c>
      <c r="H52" s="2" t="str" cm="1">
        <f t="array" aca="1" ref="H52" ca="1">_xlfn.IFS(G52&lt;=1,"Fresh",G52&lt;=3,"Junior",G52&lt;=7,"Teamlead",G52&gt;=7,"manger")</f>
        <v>Teamlead</v>
      </c>
      <c r="I52" t="s">
        <v>28</v>
      </c>
      <c r="J52" t="s">
        <v>18</v>
      </c>
      <c r="K52" t="s">
        <v>19</v>
      </c>
      <c r="L52">
        <v>1563</v>
      </c>
      <c r="M52">
        <v>18756</v>
      </c>
      <c r="N52">
        <v>3</v>
      </c>
      <c r="O52" t="str" cm="1">
        <f t="array" ref="O52">_xlfn.IFS(EmpTable[[#This Row],[Job Rate]] &lt;=1,"LOW",N52&lt;=2,"LOW",N52&lt;=3,"MEDIUM",N52&gt;4,"HIGH")</f>
        <v>MEDIUM</v>
      </c>
      <c r="P52">
        <v>3</v>
      </c>
      <c r="Q52">
        <v>0</v>
      </c>
      <c r="R52">
        <v>1</v>
      </c>
    </row>
    <row r="53" spans="1:18" x14ac:dyDescent="0.3">
      <c r="A53">
        <v>52</v>
      </c>
      <c r="B53" t="s">
        <v>125</v>
      </c>
      <c r="C53" t="s">
        <v>126</v>
      </c>
      <c r="D53" t="str">
        <f>_xlfn.CONCAT(EmpTable[[#This Row],[First Name]],EmpTable[[#This Row],[Last Name]])</f>
        <v>AymanEubayd</v>
      </c>
      <c r="E53" t="s">
        <v>32</v>
      </c>
      <c r="F53" s="1">
        <v>43699</v>
      </c>
      <c r="G53" s="2">
        <f ca="1">DATEDIF(EmpTable[[#This Row],[Start Date]],TODAY(),"Y")</f>
        <v>6</v>
      </c>
      <c r="H53" s="2" t="str" cm="1">
        <f t="array" aca="1" ref="H53" ca="1">_xlfn.IFS(G53&lt;=1,"Fresh",G53&lt;=3,"Junior",G53&lt;=7,"Teamlead",G53&gt;=7,"manger")</f>
        <v>Teamlead</v>
      </c>
      <c r="I53" t="s">
        <v>39</v>
      </c>
      <c r="J53" t="s">
        <v>22</v>
      </c>
      <c r="K53" t="s">
        <v>19</v>
      </c>
      <c r="L53">
        <v>919</v>
      </c>
      <c r="M53">
        <v>11028</v>
      </c>
      <c r="N53">
        <v>2</v>
      </c>
      <c r="O53" t="str" cm="1">
        <f t="array" ref="O53">_xlfn.IFS(EmpTable[[#This Row],[Job Rate]] &lt;=1,"LOW",N53&lt;=2,"LOW",N53&lt;=3,"MEDIUM",N53&gt;4,"HIGH")</f>
        <v>LOW</v>
      </c>
      <c r="P53">
        <v>0</v>
      </c>
      <c r="Q53">
        <v>0</v>
      </c>
      <c r="R53">
        <v>10</v>
      </c>
    </row>
    <row r="54" spans="1:18" x14ac:dyDescent="0.3">
      <c r="A54">
        <v>53</v>
      </c>
      <c r="B54" t="s">
        <v>127</v>
      </c>
      <c r="C54" t="s">
        <v>128</v>
      </c>
      <c r="D54" t="str">
        <f>_xlfn.CONCAT(EmpTable[[#This Row],[First Name]],EmpTable[[#This Row],[Last Name]])</f>
        <v>FarasKarim</v>
      </c>
      <c r="E54" t="s">
        <v>32</v>
      </c>
      <c r="F54" s="1">
        <v>44127</v>
      </c>
      <c r="G54" s="2">
        <f ca="1">DATEDIF(EmpTable[[#This Row],[Start Date]],TODAY(),"Y")</f>
        <v>5</v>
      </c>
      <c r="H54" s="2" t="str" cm="1">
        <f t="array" aca="1" ref="H54" ca="1">_xlfn.IFS(G54&lt;=1,"Fresh",G54&lt;=3,"Junior",G54&lt;=7,"Teamlead",G54&gt;=7,"manger")</f>
        <v>Teamlead</v>
      </c>
      <c r="I54" t="s">
        <v>77</v>
      </c>
      <c r="J54" t="s">
        <v>18</v>
      </c>
      <c r="K54" t="s">
        <v>42</v>
      </c>
      <c r="L54">
        <v>988</v>
      </c>
      <c r="M54">
        <v>11856</v>
      </c>
      <c r="N54">
        <v>5</v>
      </c>
      <c r="O54" t="str" cm="1">
        <f t="array" ref="O54">_xlfn.IFS(EmpTable[[#This Row],[Job Rate]] &lt;=1,"LOW",N54&lt;=2,"LOW",N54&lt;=3,"MEDIUM",N54&gt;4,"HIGH")</f>
        <v>HIGH</v>
      </c>
      <c r="P54">
        <v>0</v>
      </c>
      <c r="Q54">
        <v>0</v>
      </c>
      <c r="R54">
        <v>5</v>
      </c>
    </row>
    <row r="55" spans="1:18" x14ac:dyDescent="0.3">
      <c r="A55">
        <v>54</v>
      </c>
      <c r="B55" t="s">
        <v>129</v>
      </c>
      <c r="C55" t="s">
        <v>130</v>
      </c>
      <c r="D55" t="str">
        <f>_xlfn.CONCAT(EmpTable[[#This Row],[First Name]],EmpTable[[#This Row],[Last Name]])</f>
        <v>ShadiSalayk</v>
      </c>
      <c r="E55" t="s">
        <v>32</v>
      </c>
      <c r="F55" s="1">
        <v>43498</v>
      </c>
      <c r="G55" s="2">
        <f ca="1">DATEDIF(EmpTable[[#This Row],[Start Date]],TODAY(),"Y")</f>
        <v>7</v>
      </c>
      <c r="H55" s="2" t="str" cm="1">
        <f t="array" aca="1" ref="H55" ca="1">_xlfn.IFS(G55&lt;=1,"Fresh",G55&lt;=3,"Junior",G55&lt;=7,"Teamlead",G55&gt;=7,"manger")</f>
        <v>Teamlead</v>
      </c>
      <c r="I55" t="s">
        <v>77</v>
      </c>
      <c r="J55" t="s">
        <v>29</v>
      </c>
      <c r="K55" t="s">
        <v>36</v>
      </c>
      <c r="L55">
        <v>2631</v>
      </c>
      <c r="M55">
        <v>31572</v>
      </c>
      <c r="N55">
        <v>3</v>
      </c>
      <c r="O55" t="str" cm="1">
        <f t="array" ref="O55">_xlfn.IFS(EmpTable[[#This Row],[Job Rate]] &lt;=1,"LOW",N55&lt;=2,"LOW",N55&lt;=3,"MEDIUM",N55&gt;4,"HIGH")</f>
        <v>MEDIUM</v>
      </c>
      <c r="P55">
        <v>3</v>
      </c>
      <c r="Q55">
        <v>6</v>
      </c>
      <c r="R55">
        <v>10</v>
      </c>
    </row>
    <row r="56" spans="1:18" x14ac:dyDescent="0.3">
      <c r="A56">
        <v>55</v>
      </c>
      <c r="B56" t="s">
        <v>131</v>
      </c>
      <c r="C56" t="s">
        <v>132</v>
      </c>
      <c r="D56" t="str">
        <f>_xlfn.CONCAT(EmpTable[[#This Row],[First Name]],EmpTable[[#This Row],[Last Name]])</f>
        <v>EubayAlttahir</v>
      </c>
      <c r="E56" t="s">
        <v>32</v>
      </c>
      <c r="F56" s="1">
        <v>42629</v>
      </c>
      <c r="G56" s="2">
        <f ca="1">DATEDIF(EmpTable[[#This Row],[Start Date]],TODAY(),"Y")</f>
        <v>9</v>
      </c>
      <c r="H56" s="2" t="str" cm="1">
        <f t="array" aca="1" ref="H56" ca="1">_xlfn.IFS(G56&lt;=1,"Fresh",G56&lt;=3,"Junior",G56&lt;=7,"Teamlead",G56&gt;=7,"manger")</f>
        <v>manger</v>
      </c>
      <c r="I56" t="s">
        <v>17</v>
      </c>
      <c r="J56" t="s">
        <v>18</v>
      </c>
      <c r="K56" t="s">
        <v>36</v>
      </c>
      <c r="L56">
        <v>2368</v>
      </c>
      <c r="M56">
        <v>28416</v>
      </c>
      <c r="N56">
        <v>3</v>
      </c>
      <c r="O56" t="str" cm="1">
        <f t="array" ref="O56">_xlfn.IFS(EmpTable[[#This Row],[Job Rate]] &lt;=1,"LOW",N56&lt;=2,"LOW",N56&lt;=3,"MEDIUM",N56&gt;4,"HIGH")</f>
        <v>MEDIUM</v>
      </c>
      <c r="P56">
        <v>6</v>
      </c>
      <c r="Q56">
        <v>0</v>
      </c>
      <c r="R56">
        <v>5</v>
      </c>
    </row>
    <row r="57" spans="1:18" x14ac:dyDescent="0.3">
      <c r="A57">
        <v>56</v>
      </c>
      <c r="B57" t="s">
        <v>133</v>
      </c>
      <c r="C57" t="s">
        <v>134</v>
      </c>
      <c r="D57" t="str">
        <f>_xlfn.CONCAT(EmpTable[[#This Row],[First Name]],EmpTable[[#This Row],[Last Name]])</f>
        <v>Abd AlhadiAlzzahir</v>
      </c>
      <c r="E57" t="s">
        <v>32</v>
      </c>
      <c r="F57" s="1">
        <v>43173</v>
      </c>
      <c r="G57" s="2">
        <f ca="1">DATEDIF(EmpTable[[#This Row],[Start Date]],TODAY(),"Y")</f>
        <v>8</v>
      </c>
      <c r="H57" s="2" t="str" cm="1">
        <f t="array" aca="1" ref="H57" ca="1">_xlfn.IFS(G57&lt;=1,"Fresh",G57&lt;=3,"Junior",G57&lt;=7,"Teamlead",G57&gt;=7,"manger")</f>
        <v>manger</v>
      </c>
      <c r="I57" t="s">
        <v>39</v>
      </c>
      <c r="J57" t="s">
        <v>18</v>
      </c>
      <c r="K57" t="s">
        <v>60</v>
      </c>
      <c r="L57">
        <v>2679</v>
      </c>
      <c r="M57">
        <v>32148</v>
      </c>
      <c r="N57">
        <v>3</v>
      </c>
      <c r="O57" t="str" cm="1">
        <f t="array" ref="O57">_xlfn.IFS(EmpTable[[#This Row],[Job Rate]] &lt;=1,"LOW",N57&lt;=2,"LOW",N57&lt;=3,"MEDIUM",N57&gt;4,"HIGH")</f>
        <v>MEDIUM</v>
      </c>
      <c r="P57">
        <v>3</v>
      </c>
      <c r="Q57">
        <v>0</v>
      </c>
      <c r="R57">
        <v>85</v>
      </c>
    </row>
    <row r="58" spans="1:18" x14ac:dyDescent="0.3">
      <c r="A58">
        <v>57</v>
      </c>
      <c r="B58" t="s">
        <v>135</v>
      </c>
      <c r="C58" t="s">
        <v>136</v>
      </c>
      <c r="D58" t="str">
        <f>_xlfn.CONCAT(EmpTable[[#This Row],[First Name]],EmpTable[[#This Row],[Last Name]])</f>
        <v>MajdulinAshbrh</v>
      </c>
      <c r="E58" t="s">
        <v>307</v>
      </c>
      <c r="F58" s="1">
        <v>43540</v>
      </c>
      <c r="G58" s="2">
        <f ca="1">DATEDIF(EmpTable[[#This Row],[Start Date]],TODAY(),"Y")</f>
        <v>7</v>
      </c>
      <c r="H58" s="2" t="str" cm="1">
        <f t="array" aca="1" ref="H58" ca="1">_xlfn.IFS(G58&lt;=1,"Fresh",G58&lt;=3,"Junior",G58&lt;=7,"Teamlead",G58&gt;=7,"manger")</f>
        <v>Teamlead</v>
      </c>
      <c r="I58" t="s">
        <v>41</v>
      </c>
      <c r="J58" t="s">
        <v>18</v>
      </c>
      <c r="K58" t="s">
        <v>42</v>
      </c>
      <c r="L58">
        <v>2423</v>
      </c>
      <c r="M58">
        <v>29076</v>
      </c>
      <c r="N58">
        <v>3</v>
      </c>
      <c r="O58" t="str" cm="1">
        <f t="array" ref="O58">_xlfn.IFS(EmpTable[[#This Row],[Job Rate]] &lt;=1,"LOW",N58&lt;=2,"LOW",N58&lt;=3,"MEDIUM",N58&gt;4,"HIGH")</f>
        <v>MEDIUM</v>
      </c>
      <c r="P58">
        <v>5</v>
      </c>
      <c r="Q58">
        <v>0</v>
      </c>
      <c r="R58">
        <v>10</v>
      </c>
    </row>
    <row r="59" spans="1:18" x14ac:dyDescent="0.3">
      <c r="A59">
        <v>58</v>
      </c>
      <c r="B59" t="s">
        <v>137</v>
      </c>
      <c r="C59" t="s">
        <v>138</v>
      </c>
      <c r="D59" t="str">
        <f>_xlfn.CONCAT(EmpTable[[#This Row],[First Name]],EmpTable[[#This Row],[Last Name]])</f>
        <v>AylynDahadal</v>
      </c>
      <c r="E59" t="s">
        <v>307</v>
      </c>
      <c r="F59" s="1">
        <v>43849</v>
      </c>
      <c r="G59" s="2">
        <f ca="1">DATEDIF(EmpTable[[#This Row],[Start Date]],TODAY(),"Y")</f>
        <v>6</v>
      </c>
      <c r="H59" s="2" t="str" cm="1">
        <f t="array" aca="1" ref="H59" ca="1">_xlfn.IFS(G59&lt;=1,"Fresh",G59&lt;=3,"Junior",G59&lt;=7,"Teamlead",G59&gt;=7,"manger")</f>
        <v>Teamlead</v>
      </c>
      <c r="I59" t="s">
        <v>77</v>
      </c>
      <c r="J59" t="s">
        <v>18</v>
      </c>
      <c r="K59" t="s">
        <v>19</v>
      </c>
      <c r="L59">
        <v>2115</v>
      </c>
      <c r="M59">
        <v>25380</v>
      </c>
      <c r="N59">
        <v>5</v>
      </c>
      <c r="O59" t="str" cm="1">
        <f t="array" ref="O59">_xlfn.IFS(EmpTable[[#This Row],[Job Rate]] &lt;=1,"LOW",N59&lt;=2,"LOW",N59&lt;=3,"MEDIUM",N59&gt;4,"HIGH")</f>
        <v>HIGH</v>
      </c>
      <c r="P59">
        <v>0</v>
      </c>
      <c r="Q59">
        <v>0</v>
      </c>
      <c r="R59">
        <v>0</v>
      </c>
    </row>
    <row r="60" spans="1:18" x14ac:dyDescent="0.3">
      <c r="A60">
        <v>59</v>
      </c>
      <c r="B60" t="s">
        <v>139</v>
      </c>
      <c r="C60" t="s">
        <v>140</v>
      </c>
      <c r="D60" t="str">
        <f>_xlfn.CONCAT(EmpTable[[#This Row],[First Name]],EmpTable[[#This Row],[Last Name]])</f>
        <v>TalaTuish</v>
      </c>
      <c r="E60" t="s">
        <v>307</v>
      </c>
      <c r="F60" s="1">
        <v>43576</v>
      </c>
      <c r="G60" s="2">
        <f ca="1">DATEDIF(EmpTable[[#This Row],[Start Date]],TODAY(),"Y")</f>
        <v>6</v>
      </c>
      <c r="H60" s="2" t="str" cm="1">
        <f t="array" aca="1" ref="H60" ca="1">_xlfn.IFS(G60&lt;=1,"Fresh",G60&lt;=3,"Junior",G60&lt;=7,"Teamlead",G60&gt;=7,"manger")</f>
        <v>Teamlead</v>
      </c>
      <c r="I60" t="s">
        <v>35</v>
      </c>
      <c r="J60" t="s">
        <v>29</v>
      </c>
      <c r="K60" t="s">
        <v>36</v>
      </c>
      <c r="L60">
        <v>2969</v>
      </c>
      <c r="M60">
        <v>35628</v>
      </c>
      <c r="N60">
        <v>1</v>
      </c>
      <c r="O60" t="str" cm="1">
        <f t="array" ref="O60">_xlfn.IFS(EmpTable[[#This Row],[Job Rate]] &lt;=1,"LOW",N60&lt;=2,"LOW",N60&lt;=3,"MEDIUM",N60&gt;4,"HIGH")</f>
        <v>LOW</v>
      </c>
      <c r="P60">
        <v>0</v>
      </c>
      <c r="Q60">
        <v>0</v>
      </c>
      <c r="R60">
        <v>11</v>
      </c>
    </row>
    <row r="61" spans="1:18" x14ac:dyDescent="0.3">
      <c r="A61">
        <v>60</v>
      </c>
      <c r="B61" t="s">
        <v>33</v>
      </c>
      <c r="C61" t="s">
        <v>141</v>
      </c>
      <c r="D61" t="str">
        <f>_xlfn.CONCAT(EmpTable[[#This Row],[First Name]],EmpTable[[#This Row],[Last Name]])</f>
        <v>MuhamadQarh</v>
      </c>
      <c r="E61" t="s">
        <v>32</v>
      </c>
      <c r="F61" s="1">
        <v>43665</v>
      </c>
      <c r="G61" s="2">
        <f ca="1">DATEDIF(EmpTable[[#This Row],[Start Date]],TODAY(),"Y")</f>
        <v>6</v>
      </c>
      <c r="H61" s="2" t="str" cm="1">
        <f t="array" aca="1" ref="H61" ca="1">_xlfn.IFS(G61&lt;=1,"Fresh",G61&lt;=3,"Junior",G61&lt;=7,"Teamlead",G61&gt;=7,"manger")</f>
        <v>Teamlead</v>
      </c>
      <c r="I61" t="s">
        <v>76</v>
      </c>
      <c r="J61" t="s">
        <v>18</v>
      </c>
      <c r="K61" t="s">
        <v>36</v>
      </c>
      <c r="L61">
        <v>2467</v>
      </c>
      <c r="M61">
        <v>29604</v>
      </c>
      <c r="N61">
        <v>3</v>
      </c>
      <c r="O61" t="str" cm="1">
        <f t="array" ref="O61">_xlfn.IFS(EmpTable[[#This Row],[Job Rate]] &lt;=1,"LOW",N61&lt;=2,"LOW",N61&lt;=3,"MEDIUM",N61&gt;4,"HIGH")</f>
        <v>MEDIUM</v>
      </c>
      <c r="P61">
        <v>0</v>
      </c>
      <c r="Q61">
        <v>0</v>
      </c>
      <c r="R61">
        <v>7</v>
      </c>
    </row>
    <row r="62" spans="1:18" x14ac:dyDescent="0.3">
      <c r="A62">
        <v>61</v>
      </c>
      <c r="B62" t="s">
        <v>89</v>
      </c>
      <c r="C62" t="s">
        <v>142</v>
      </c>
      <c r="D62" t="str">
        <f>_xlfn.CONCAT(EmpTable[[#This Row],[First Name]],EmpTable[[#This Row],[Last Name]])</f>
        <v>EalaAlmisri</v>
      </c>
      <c r="E62" t="s">
        <v>307</v>
      </c>
      <c r="F62" s="1">
        <v>43582</v>
      </c>
      <c r="G62" s="2">
        <f ca="1">DATEDIF(EmpTable[[#This Row],[Start Date]],TODAY(),"Y")</f>
        <v>6</v>
      </c>
      <c r="H62" s="2" t="str" cm="1">
        <f t="array" aca="1" ref="H62" ca="1">_xlfn.IFS(G62&lt;=1,"Fresh",G62&lt;=3,"Junior",G62&lt;=7,"Teamlead",G62&gt;=7,"manger")</f>
        <v>Teamlead</v>
      </c>
      <c r="I62" t="s">
        <v>53</v>
      </c>
      <c r="J62" t="s">
        <v>18</v>
      </c>
      <c r="K62" t="s">
        <v>42</v>
      </c>
      <c r="L62">
        <v>3244</v>
      </c>
      <c r="M62">
        <v>38928</v>
      </c>
      <c r="N62">
        <v>3</v>
      </c>
      <c r="O62" t="str" cm="1">
        <f t="array" ref="O62">_xlfn.IFS(EmpTable[[#This Row],[Job Rate]] &lt;=1,"LOW",N62&lt;=2,"LOW",N62&lt;=3,"MEDIUM",N62&gt;4,"HIGH")</f>
        <v>MEDIUM</v>
      </c>
      <c r="P62">
        <v>0</v>
      </c>
      <c r="Q62">
        <v>0</v>
      </c>
      <c r="R62">
        <v>10</v>
      </c>
    </row>
    <row r="63" spans="1:18" x14ac:dyDescent="0.3">
      <c r="A63">
        <v>62</v>
      </c>
      <c r="B63" t="s">
        <v>33</v>
      </c>
      <c r="C63" t="s">
        <v>143</v>
      </c>
      <c r="D63" t="str">
        <f>_xlfn.CONCAT(EmpTable[[#This Row],[First Name]],EmpTable[[#This Row],[Last Name]])</f>
        <v>MuhamadAlzaybq</v>
      </c>
      <c r="E63" t="s">
        <v>32</v>
      </c>
      <c r="F63" s="1">
        <v>43439</v>
      </c>
      <c r="G63" s="2">
        <f ca="1">DATEDIF(EmpTable[[#This Row],[Start Date]],TODAY(),"Y")</f>
        <v>7</v>
      </c>
      <c r="H63" s="2" t="str" cm="1">
        <f t="array" aca="1" ref="H63" ca="1">_xlfn.IFS(G63&lt;=1,"Fresh",G63&lt;=3,"Junior",G63&lt;=7,"Teamlead",G63&gt;=7,"manger")</f>
        <v>Teamlead</v>
      </c>
      <c r="I63" t="s">
        <v>144</v>
      </c>
      <c r="J63" t="s">
        <v>18</v>
      </c>
      <c r="K63" t="s">
        <v>42</v>
      </c>
      <c r="L63">
        <v>2132</v>
      </c>
      <c r="M63">
        <v>25584</v>
      </c>
      <c r="N63">
        <v>3</v>
      </c>
      <c r="O63" t="str" cm="1">
        <f t="array" ref="O63">_xlfn.IFS(EmpTable[[#This Row],[Job Rate]] &lt;=1,"LOW",N63&lt;=2,"LOW",N63&lt;=3,"MEDIUM",N63&gt;4,"HIGH")</f>
        <v>MEDIUM</v>
      </c>
      <c r="P63">
        <v>5</v>
      </c>
      <c r="Q63">
        <v>0</v>
      </c>
      <c r="R63">
        <v>2</v>
      </c>
    </row>
    <row r="64" spans="1:18" x14ac:dyDescent="0.3">
      <c r="A64">
        <v>63</v>
      </c>
      <c r="B64" t="s">
        <v>33</v>
      </c>
      <c r="C64" t="s">
        <v>145</v>
      </c>
      <c r="D64" t="str">
        <f>_xlfn.CONCAT(EmpTable[[#This Row],[First Name]],EmpTable[[#This Row],[Last Name]])</f>
        <v>MuhamadAsamy</v>
      </c>
      <c r="E64" t="s">
        <v>32</v>
      </c>
      <c r="F64" s="1">
        <v>42819</v>
      </c>
      <c r="G64" s="2">
        <f ca="1">DATEDIF(EmpTable[[#This Row],[Start Date]],TODAY(),"Y")</f>
        <v>9</v>
      </c>
      <c r="H64" s="2" t="str" cm="1">
        <f t="array" aca="1" ref="H64" ca="1">_xlfn.IFS(G64&lt;=1,"Fresh",G64&lt;=3,"Junior",G64&lt;=7,"Teamlead",G64&gt;=7,"manger")</f>
        <v>manger</v>
      </c>
      <c r="I64" t="s">
        <v>28</v>
      </c>
      <c r="J64" t="s">
        <v>29</v>
      </c>
      <c r="K64" t="s">
        <v>36</v>
      </c>
      <c r="L64">
        <v>994</v>
      </c>
      <c r="M64">
        <v>11928</v>
      </c>
      <c r="N64">
        <v>3</v>
      </c>
      <c r="O64" t="str" cm="1">
        <f t="array" ref="O64">_xlfn.IFS(EmpTable[[#This Row],[Job Rate]] &lt;=1,"LOW",N64&lt;=2,"LOW",N64&lt;=3,"MEDIUM",N64&gt;4,"HIGH")</f>
        <v>MEDIUM</v>
      </c>
      <c r="P64">
        <v>6</v>
      </c>
      <c r="Q64">
        <v>4</v>
      </c>
      <c r="R64">
        <v>0</v>
      </c>
    </row>
    <row r="65" spans="1:18" x14ac:dyDescent="0.3">
      <c r="A65">
        <v>64</v>
      </c>
      <c r="B65" t="s">
        <v>30</v>
      </c>
      <c r="C65" t="s">
        <v>120</v>
      </c>
      <c r="D65" t="str">
        <f>_xlfn.CONCAT(EmpTable[[#This Row],[First Name]],EmpTable[[#This Row],[Last Name]])</f>
        <v>AhmadAlealbi</v>
      </c>
      <c r="E65" t="s">
        <v>32</v>
      </c>
      <c r="F65" s="1">
        <v>42389</v>
      </c>
      <c r="G65" s="2">
        <f ca="1">DATEDIF(EmpTable[[#This Row],[Start Date]],TODAY(),"Y")</f>
        <v>10</v>
      </c>
      <c r="H65" s="2" t="str" cm="1">
        <f t="array" aca="1" ref="H65" ca="1">_xlfn.IFS(G65&lt;=1,"Fresh",G65&lt;=3,"Junior",G65&lt;=7,"Teamlead",G65&gt;=7,"manger")</f>
        <v>manger</v>
      </c>
      <c r="I65" t="s">
        <v>50</v>
      </c>
      <c r="J65" t="s">
        <v>18</v>
      </c>
      <c r="K65" t="s">
        <v>36</v>
      </c>
      <c r="L65">
        <v>2304</v>
      </c>
      <c r="M65">
        <v>27648</v>
      </c>
      <c r="N65">
        <v>5</v>
      </c>
      <c r="O65" t="str" cm="1">
        <f t="array" ref="O65">_xlfn.IFS(EmpTable[[#This Row],[Job Rate]] &lt;=1,"LOW",N65&lt;=2,"LOW",N65&lt;=3,"MEDIUM",N65&gt;4,"HIGH")</f>
        <v>HIGH</v>
      </c>
      <c r="P65">
        <v>5</v>
      </c>
      <c r="Q65">
        <v>0</v>
      </c>
      <c r="R65">
        <v>2</v>
      </c>
    </row>
    <row r="66" spans="1:18" x14ac:dyDescent="0.3">
      <c r="A66">
        <v>65</v>
      </c>
      <c r="B66" t="s">
        <v>146</v>
      </c>
      <c r="C66" t="s">
        <v>147</v>
      </c>
      <c r="D66" t="str">
        <f>_xlfn.CONCAT(EmpTable[[#This Row],[First Name]],EmpTable[[#This Row],[Last Name]])</f>
        <v>IbrahimAlmasri</v>
      </c>
      <c r="E66" t="s">
        <v>32</v>
      </c>
      <c r="F66" s="1">
        <v>43280</v>
      </c>
      <c r="G66" s="2">
        <f ca="1">DATEDIF(EmpTable[[#This Row],[Start Date]],TODAY(),"Y")</f>
        <v>7</v>
      </c>
      <c r="H66" s="2" t="str" cm="1">
        <f t="array" aca="1" ref="H66" ca="1">_xlfn.IFS(G66&lt;=1,"Fresh",G66&lt;=3,"Junior",G66&lt;=7,"Teamlead",G66&gt;=7,"manger")</f>
        <v>Teamlead</v>
      </c>
      <c r="I66" t="s">
        <v>77</v>
      </c>
      <c r="J66" t="s">
        <v>18</v>
      </c>
      <c r="K66" t="s">
        <v>42</v>
      </c>
      <c r="L66">
        <v>1207</v>
      </c>
      <c r="M66">
        <v>14484</v>
      </c>
      <c r="N66">
        <v>2</v>
      </c>
      <c r="O66" t="str" cm="1">
        <f t="array" ref="O66">_xlfn.IFS(EmpTable[[#This Row],[Job Rate]] &lt;=1,"LOW",N66&lt;=2,"LOW",N66&lt;=3,"MEDIUM",N66&gt;4,"HIGH")</f>
        <v>LOW</v>
      </c>
      <c r="P66">
        <v>0</v>
      </c>
      <c r="Q66">
        <v>0</v>
      </c>
      <c r="R66">
        <v>50</v>
      </c>
    </row>
    <row r="67" spans="1:18" x14ac:dyDescent="0.3">
      <c r="A67">
        <v>66</v>
      </c>
      <c r="B67" t="s">
        <v>148</v>
      </c>
      <c r="C67" t="s">
        <v>149</v>
      </c>
      <c r="D67" t="str">
        <f>_xlfn.CONCAT(EmpTable[[#This Row],[First Name]],EmpTable[[#This Row],[Last Name]])</f>
        <v>HamdahAlkhalifa</v>
      </c>
      <c r="E67" t="s">
        <v>32</v>
      </c>
      <c r="F67" s="1">
        <v>43715</v>
      </c>
      <c r="G67" s="2">
        <f ca="1">DATEDIF(EmpTable[[#This Row],[Start Date]],TODAY(),"Y")</f>
        <v>6</v>
      </c>
      <c r="H67" s="2" t="str" cm="1">
        <f t="array" aca="1" ref="H67" ca="1">_xlfn.IFS(G67&lt;=1,"Fresh",G67&lt;=3,"Junior",G67&lt;=7,"Teamlead",G67&gt;=7,"manger")</f>
        <v>Teamlead</v>
      </c>
      <c r="I67" t="s">
        <v>28</v>
      </c>
      <c r="J67" t="s">
        <v>48</v>
      </c>
      <c r="K67" t="s">
        <v>36</v>
      </c>
      <c r="L67">
        <v>802</v>
      </c>
      <c r="M67">
        <v>9624</v>
      </c>
      <c r="N67">
        <v>4.5</v>
      </c>
      <c r="O67" t="str" cm="1">
        <f t="array" ref="O67">_xlfn.IFS(EmpTable[[#This Row],[Job Rate]] &lt;=1,"LOW",N67&lt;=2,"LOW",N67&lt;=3,"MEDIUM",N67&gt;4,"HIGH")</f>
        <v>HIGH</v>
      </c>
      <c r="P67">
        <v>2</v>
      </c>
      <c r="Q67">
        <v>0</v>
      </c>
      <c r="R67">
        <v>3</v>
      </c>
    </row>
    <row r="68" spans="1:18" x14ac:dyDescent="0.3">
      <c r="A68">
        <v>67</v>
      </c>
      <c r="B68" t="s">
        <v>33</v>
      </c>
      <c r="C68" t="s">
        <v>150</v>
      </c>
      <c r="D68" t="str">
        <f>_xlfn.CONCAT(EmpTable[[#This Row],[First Name]],EmpTable[[#This Row],[Last Name]])</f>
        <v>MuhamadJawish</v>
      </c>
      <c r="E68" t="s">
        <v>32</v>
      </c>
      <c r="F68" s="1">
        <v>43794</v>
      </c>
      <c r="G68" s="2">
        <f ca="1">DATEDIF(EmpTable[[#This Row],[Start Date]],TODAY(),"Y")</f>
        <v>6</v>
      </c>
      <c r="H68" s="2" t="str" cm="1">
        <f t="array" aca="1" ref="H68" ca="1">_xlfn.IFS(G68&lt;=1,"Fresh",G68&lt;=3,"Junior",G68&lt;=7,"Teamlead",G68&gt;=7,"manger")</f>
        <v>Teamlead</v>
      </c>
      <c r="I68" t="s">
        <v>58</v>
      </c>
      <c r="J68" t="s">
        <v>29</v>
      </c>
      <c r="K68" t="s">
        <v>36</v>
      </c>
      <c r="L68">
        <v>2065</v>
      </c>
      <c r="M68">
        <v>24780</v>
      </c>
      <c r="N68">
        <v>3</v>
      </c>
      <c r="O68" t="str" cm="1">
        <f t="array" ref="O68">_xlfn.IFS(EmpTable[[#This Row],[Job Rate]] &lt;=1,"LOW",N68&lt;=2,"LOW",N68&lt;=3,"MEDIUM",N68&gt;4,"HIGH")</f>
        <v>MEDIUM</v>
      </c>
      <c r="P68">
        <v>4</v>
      </c>
      <c r="Q68">
        <v>3</v>
      </c>
      <c r="R68">
        <v>4</v>
      </c>
    </row>
    <row r="69" spans="1:18" x14ac:dyDescent="0.3">
      <c r="A69">
        <v>68</v>
      </c>
      <c r="B69" t="s">
        <v>151</v>
      </c>
      <c r="C69" t="s">
        <v>152</v>
      </c>
      <c r="D69" t="str">
        <f>_xlfn.CONCAT(EmpTable[[#This Row],[First Name]],EmpTable[[#This Row],[Last Name]])</f>
        <v>MuwminAlmudhin</v>
      </c>
      <c r="E69" t="s">
        <v>32</v>
      </c>
      <c r="F69" s="1">
        <v>44010</v>
      </c>
      <c r="G69" s="2">
        <f ca="1">DATEDIF(EmpTable[[#This Row],[Start Date]],TODAY(),"Y")</f>
        <v>5</v>
      </c>
      <c r="H69" s="2" t="str" cm="1">
        <f t="array" aca="1" ref="H69" ca="1">_xlfn.IFS(G69&lt;=1,"Fresh",G69&lt;=3,"Junior",G69&lt;=7,"Teamlead",G69&gt;=7,"manger")</f>
        <v>Teamlead</v>
      </c>
      <c r="I69" t="s">
        <v>50</v>
      </c>
      <c r="J69" t="s">
        <v>18</v>
      </c>
      <c r="K69" t="s">
        <v>19</v>
      </c>
      <c r="L69">
        <v>2882</v>
      </c>
      <c r="M69">
        <v>34584</v>
      </c>
      <c r="N69">
        <v>5</v>
      </c>
      <c r="O69" t="str" cm="1">
        <f t="array" ref="O69">_xlfn.IFS(EmpTable[[#This Row],[Job Rate]] &lt;=1,"LOW",N69&lt;=2,"LOW",N69&lt;=3,"MEDIUM",N69&gt;4,"HIGH")</f>
        <v>HIGH</v>
      </c>
      <c r="P69">
        <v>0</v>
      </c>
      <c r="Q69">
        <v>4</v>
      </c>
      <c r="R69">
        <v>0</v>
      </c>
    </row>
    <row r="70" spans="1:18" x14ac:dyDescent="0.3">
      <c r="A70">
        <v>69</v>
      </c>
      <c r="B70" t="s">
        <v>30</v>
      </c>
      <c r="C70" t="s">
        <v>153</v>
      </c>
      <c r="D70" t="str">
        <f>_xlfn.CONCAT(EmpTable[[#This Row],[First Name]],EmpTable[[#This Row],[Last Name]])</f>
        <v>AhmadZayd</v>
      </c>
      <c r="E70" t="s">
        <v>32</v>
      </c>
      <c r="F70" s="1">
        <v>43268</v>
      </c>
      <c r="G70" s="2">
        <f ca="1">DATEDIF(EmpTable[[#This Row],[Start Date]],TODAY(),"Y")</f>
        <v>7</v>
      </c>
      <c r="H70" s="2" t="str" cm="1">
        <f t="array" aca="1" ref="H70" ca="1">_xlfn.IFS(G70&lt;=1,"Fresh",G70&lt;=3,"Junior",G70&lt;=7,"Teamlead",G70&gt;=7,"manger")</f>
        <v>Teamlead</v>
      </c>
      <c r="I70" t="s">
        <v>41</v>
      </c>
      <c r="J70" t="s">
        <v>18</v>
      </c>
      <c r="K70" t="s">
        <v>36</v>
      </c>
      <c r="L70">
        <v>2042</v>
      </c>
      <c r="M70">
        <v>24504</v>
      </c>
      <c r="N70">
        <v>5</v>
      </c>
      <c r="O70" t="str" cm="1">
        <f t="array" ref="O70">_xlfn.IFS(EmpTable[[#This Row],[Job Rate]] &lt;=1,"LOW",N70&lt;=2,"LOW",N70&lt;=3,"MEDIUM",N70&gt;4,"HIGH")</f>
        <v>HIGH</v>
      </c>
      <c r="P70">
        <v>0</v>
      </c>
      <c r="Q70">
        <v>3</v>
      </c>
      <c r="R70">
        <v>64</v>
      </c>
    </row>
    <row r="71" spans="1:18" x14ac:dyDescent="0.3">
      <c r="A71">
        <v>70</v>
      </c>
      <c r="B71" t="s">
        <v>154</v>
      </c>
      <c r="C71" t="s">
        <v>155</v>
      </c>
      <c r="D71" t="str">
        <f>_xlfn.CONCAT(EmpTable[[#This Row],[First Name]],EmpTable[[#This Row],[Last Name]])</f>
        <v>LayzaanNabulsi</v>
      </c>
      <c r="E71" t="s">
        <v>32</v>
      </c>
      <c r="F71" s="1">
        <v>43802</v>
      </c>
      <c r="G71" s="2">
        <f ca="1">DATEDIF(EmpTable[[#This Row],[Start Date]],TODAY(),"Y")</f>
        <v>6</v>
      </c>
      <c r="H71" s="2" t="str" cm="1">
        <f t="array" aca="1" ref="H71" ca="1">_xlfn.IFS(G71&lt;=1,"Fresh",G71&lt;=3,"Junior",G71&lt;=7,"Teamlead",G71&gt;=7,"manger")</f>
        <v>Teamlead</v>
      </c>
      <c r="I71" t="s">
        <v>53</v>
      </c>
      <c r="J71" t="s">
        <v>22</v>
      </c>
      <c r="K71" t="s">
        <v>19</v>
      </c>
      <c r="L71">
        <v>2017</v>
      </c>
      <c r="M71">
        <v>24204</v>
      </c>
      <c r="N71">
        <v>3</v>
      </c>
      <c r="O71" t="str" cm="1">
        <f t="array" ref="O71">_xlfn.IFS(EmpTable[[#This Row],[Job Rate]] &lt;=1,"LOW",N71&lt;=2,"LOW",N71&lt;=3,"MEDIUM",N71&gt;4,"HIGH")</f>
        <v>MEDIUM</v>
      </c>
      <c r="P71">
        <v>6</v>
      </c>
      <c r="Q71">
        <v>0</v>
      </c>
      <c r="R71">
        <v>8</v>
      </c>
    </row>
    <row r="72" spans="1:18" x14ac:dyDescent="0.3">
      <c r="A72">
        <v>71</v>
      </c>
      <c r="B72" t="s">
        <v>156</v>
      </c>
      <c r="C72" t="s">
        <v>157</v>
      </c>
      <c r="D72" t="str">
        <f>_xlfn.CONCAT(EmpTable[[#This Row],[First Name]],EmpTable[[#This Row],[Last Name]])</f>
        <v>SarihEammar</v>
      </c>
      <c r="E72" t="s">
        <v>32</v>
      </c>
      <c r="F72" s="1">
        <v>43284</v>
      </c>
      <c r="G72" s="2">
        <f ca="1">DATEDIF(EmpTable[[#This Row],[Start Date]],TODAY(),"Y")</f>
        <v>7</v>
      </c>
      <c r="H72" s="2" t="str" cm="1">
        <f t="array" aca="1" ref="H72" ca="1">_xlfn.IFS(G72&lt;=1,"Fresh",G72&lt;=3,"Junior",G72&lt;=7,"Teamlead",G72&gt;=7,"manger")</f>
        <v>Teamlead</v>
      </c>
      <c r="I72" t="s">
        <v>77</v>
      </c>
      <c r="J72" t="s">
        <v>48</v>
      </c>
      <c r="K72" t="s">
        <v>42</v>
      </c>
      <c r="L72">
        <v>3215</v>
      </c>
      <c r="M72">
        <v>38580</v>
      </c>
      <c r="N72">
        <v>2</v>
      </c>
      <c r="O72" t="str" cm="1">
        <f t="array" ref="O72">_xlfn.IFS(EmpTable[[#This Row],[Job Rate]] &lt;=1,"LOW",N72&lt;=2,"LOW",N72&lt;=3,"MEDIUM",N72&gt;4,"HIGH")</f>
        <v>LOW</v>
      </c>
      <c r="P72">
        <v>5</v>
      </c>
      <c r="Q72">
        <v>0</v>
      </c>
      <c r="R72">
        <v>2</v>
      </c>
    </row>
    <row r="73" spans="1:18" x14ac:dyDescent="0.3">
      <c r="A73">
        <v>72</v>
      </c>
      <c r="B73" t="s">
        <v>158</v>
      </c>
      <c r="C73" t="s">
        <v>159</v>
      </c>
      <c r="D73" t="str">
        <f>_xlfn.CONCAT(EmpTable[[#This Row],[First Name]],EmpTable[[#This Row],[Last Name]])</f>
        <v>KaramHutayniun</v>
      </c>
      <c r="E73" t="s">
        <v>32</v>
      </c>
      <c r="F73" s="1">
        <v>42691</v>
      </c>
      <c r="G73" s="2">
        <f ca="1">DATEDIF(EmpTable[[#This Row],[Start Date]],TODAY(),"Y")</f>
        <v>9</v>
      </c>
      <c r="H73" s="2" t="str" cm="1">
        <f t="array" aca="1" ref="H73" ca="1">_xlfn.IFS(G73&lt;=1,"Fresh",G73&lt;=3,"Junior",G73&lt;=7,"Teamlead",G73&gt;=7,"manger")</f>
        <v>manger</v>
      </c>
      <c r="I73" t="s">
        <v>28</v>
      </c>
      <c r="J73" t="s">
        <v>29</v>
      </c>
      <c r="K73" t="s">
        <v>36</v>
      </c>
      <c r="L73">
        <v>2957</v>
      </c>
      <c r="M73">
        <v>35484</v>
      </c>
      <c r="N73">
        <v>5</v>
      </c>
      <c r="O73" t="str" cm="1">
        <f t="array" ref="O73">_xlfn.IFS(EmpTable[[#This Row],[Job Rate]] &lt;=1,"LOW",N73&lt;=2,"LOW",N73&lt;=3,"MEDIUM",N73&gt;4,"HIGH")</f>
        <v>HIGH</v>
      </c>
      <c r="P73">
        <v>1</v>
      </c>
      <c r="Q73">
        <v>0</v>
      </c>
      <c r="R73">
        <v>10</v>
      </c>
    </row>
    <row r="74" spans="1:18" x14ac:dyDescent="0.3">
      <c r="A74">
        <v>73</v>
      </c>
      <c r="B74" t="s">
        <v>160</v>
      </c>
      <c r="C74" t="s">
        <v>87</v>
      </c>
      <c r="D74" t="str">
        <f>_xlfn.CONCAT(EmpTable[[#This Row],[First Name]],EmpTable[[#This Row],[Last Name]])</f>
        <v>ShahadShanan</v>
      </c>
      <c r="E74" t="s">
        <v>307</v>
      </c>
      <c r="F74" s="1">
        <v>43740</v>
      </c>
      <c r="G74" s="2">
        <f ca="1">DATEDIF(EmpTable[[#This Row],[Start Date]],TODAY(),"Y")</f>
        <v>6</v>
      </c>
      <c r="H74" s="2" t="str" cm="1">
        <f t="array" aca="1" ref="H74" ca="1">_xlfn.IFS(G74&lt;=1,"Fresh",G74&lt;=3,"Junior",G74&lt;=7,"Teamlead",G74&gt;=7,"manger")</f>
        <v>Teamlead</v>
      </c>
      <c r="I74" t="s">
        <v>35</v>
      </c>
      <c r="J74" t="s">
        <v>48</v>
      </c>
      <c r="K74" t="s">
        <v>36</v>
      </c>
      <c r="L74">
        <v>891</v>
      </c>
      <c r="M74">
        <v>10692</v>
      </c>
      <c r="N74">
        <v>3</v>
      </c>
      <c r="O74" t="str" cm="1">
        <f t="array" ref="O74">_xlfn.IFS(EmpTable[[#This Row],[Job Rate]] &lt;=1,"LOW",N74&lt;=2,"LOW",N74&lt;=3,"MEDIUM",N74&gt;4,"HIGH")</f>
        <v>MEDIUM</v>
      </c>
      <c r="P74">
        <v>0</v>
      </c>
      <c r="Q74">
        <v>2</v>
      </c>
      <c r="R74">
        <v>6</v>
      </c>
    </row>
    <row r="75" spans="1:18" x14ac:dyDescent="0.3">
      <c r="A75">
        <v>74</v>
      </c>
      <c r="B75" t="s">
        <v>161</v>
      </c>
      <c r="C75" t="s">
        <v>162</v>
      </c>
      <c r="D75" t="str">
        <f>_xlfn.CONCAT(EmpTable[[#This Row],[First Name]],EmpTable[[#This Row],[Last Name]])</f>
        <v>SalahRamadan</v>
      </c>
      <c r="E75" t="s">
        <v>32</v>
      </c>
      <c r="F75" s="1">
        <v>43339</v>
      </c>
      <c r="G75" s="2">
        <f ca="1">DATEDIF(EmpTable[[#This Row],[Start Date]],TODAY(),"Y")</f>
        <v>7</v>
      </c>
      <c r="H75" s="2" t="str" cm="1">
        <f t="array" aca="1" ref="H75" ca="1">_xlfn.IFS(G75&lt;=1,"Fresh",G75&lt;=3,"Junior",G75&lt;=7,"Teamlead",G75&gt;=7,"manger")</f>
        <v>Teamlead</v>
      </c>
      <c r="I75" t="s">
        <v>163</v>
      </c>
      <c r="J75" t="s">
        <v>29</v>
      </c>
      <c r="K75" t="s">
        <v>36</v>
      </c>
      <c r="L75">
        <v>1971</v>
      </c>
      <c r="M75">
        <v>23652</v>
      </c>
      <c r="N75">
        <v>4.5</v>
      </c>
      <c r="O75" t="str" cm="1">
        <f t="array" ref="O75">_xlfn.IFS(EmpTable[[#This Row],[Job Rate]] &lt;=1,"LOW",N75&lt;=2,"LOW",N75&lt;=3,"MEDIUM",N75&gt;4,"HIGH")</f>
        <v>HIGH</v>
      </c>
      <c r="P75">
        <v>5</v>
      </c>
      <c r="Q75">
        <v>1</v>
      </c>
      <c r="R75">
        <v>0</v>
      </c>
    </row>
    <row r="76" spans="1:18" x14ac:dyDescent="0.3">
      <c r="A76">
        <v>75</v>
      </c>
      <c r="B76" t="s">
        <v>116</v>
      </c>
      <c r="C76" t="s">
        <v>164</v>
      </c>
      <c r="D76" t="str">
        <f>_xlfn.CONCAT(EmpTable[[#This Row],[First Name]],EmpTable[[#This Row],[Last Name]])</f>
        <v>SamiAlkhayrat</v>
      </c>
      <c r="E76" t="s">
        <v>32</v>
      </c>
      <c r="F76" s="1">
        <v>44149</v>
      </c>
      <c r="G76" s="2">
        <f ca="1">DATEDIF(EmpTable[[#This Row],[Start Date]],TODAY(),"Y")</f>
        <v>5</v>
      </c>
      <c r="H76" s="2" t="str" cm="1">
        <f t="array" aca="1" ref="H76" ca="1">_xlfn.IFS(G76&lt;=1,"Fresh",G76&lt;=3,"Junior",G76&lt;=7,"Teamlead",G76&gt;=7,"manger")</f>
        <v>Teamlead</v>
      </c>
      <c r="I76" t="s">
        <v>53</v>
      </c>
      <c r="J76" t="s">
        <v>29</v>
      </c>
      <c r="K76" t="s">
        <v>19</v>
      </c>
      <c r="L76">
        <v>2317</v>
      </c>
      <c r="M76">
        <v>27804</v>
      </c>
      <c r="N76">
        <v>3</v>
      </c>
      <c r="O76" t="str" cm="1">
        <f t="array" ref="O76">_xlfn.IFS(EmpTable[[#This Row],[Job Rate]] &lt;=1,"LOW",N76&lt;=2,"LOW",N76&lt;=3,"MEDIUM",N76&gt;4,"HIGH")</f>
        <v>MEDIUM</v>
      </c>
      <c r="P76">
        <v>6</v>
      </c>
      <c r="Q76">
        <v>1</v>
      </c>
      <c r="R76">
        <v>10</v>
      </c>
    </row>
    <row r="77" spans="1:18" x14ac:dyDescent="0.3">
      <c r="A77">
        <v>76</v>
      </c>
      <c r="B77" t="s">
        <v>165</v>
      </c>
      <c r="C77" t="s">
        <v>166</v>
      </c>
      <c r="D77" t="str">
        <f>_xlfn.CONCAT(EmpTable[[#This Row],[First Name]],EmpTable[[#This Row],[Last Name]])</f>
        <v>KhalidSnan</v>
      </c>
      <c r="E77" t="s">
        <v>32</v>
      </c>
      <c r="F77" s="1">
        <v>43797</v>
      </c>
      <c r="G77" s="2">
        <f ca="1">DATEDIF(EmpTable[[#This Row],[Start Date]],TODAY(),"Y")</f>
        <v>6</v>
      </c>
      <c r="H77" s="2" t="str" cm="1">
        <f t="array" aca="1" ref="H77" ca="1">_xlfn.IFS(G77&lt;=1,"Fresh",G77&lt;=3,"Junior",G77&lt;=7,"Teamlead",G77&gt;=7,"manger")</f>
        <v>Teamlead</v>
      </c>
      <c r="I77" t="s">
        <v>28</v>
      </c>
      <c r="J77" t="s">
        <v>18</v>
      </c>
      <c r="K77" t="s">
        <v>60</v>
      </c>
      <c r="L77">
        <v>1657</v>
      </c>
      <c r="M77">
        <v>19884</v>
      </c>
      <c r="N77">
        <v>3</v>
      </c>
      <c r="O77" t="str" cm="1">
        <f t="array" ref="O77">_xlfn.IFS(EmpTable[[#This Row],[Job Rate]] &lt;=1,"LOW",N77&lt;=2,"LOW",N77&lt;=3,"MEDIUM",N77&gt;4,"HIGH")</f>
        <v>MEDIUM</v>
      </c>
      <c r="P77">
        <v>0</v>
      </c>
      <c r="Q77">
        <v>0</v>
      </c>
      <c r="R77">
        <v>12</v>
      </c>
    </row>
    <row r="78" spans="1:18" x14ac:dyDescent="0.3">
      <c r="A78">
        <v>77</v>
      </c>
      <c r="B78" t="s">
        <v>119</v>
      </c>
      <c r="C78" t="s">
        <v>167</v>
      </c>
      <c r="D78" t="str">
        <f>_xlfn.CONCAT(EmpTable[[#This Row],[First Name]],EmpTable[[#This Row],[Last Name]])</f>
        <v>SalamAlkhatib</v>
      </c>
      <c r="E78" t="s">
        <v>32</v>
      </c>
      <c r="F78" s="1">
        <v>43210</v>
      </c>
      <c r="G78" s="2">
        <f ca="1">DATEDIF(EmpTable[[#This Row],[Start Date]],TODAY(),"Y")</f>
        <v>7</v>
      </c>
      <c r="H78" s="2" t="str" cm="1">
        <f t="array" aca="1" ref="H78" ca="1">_xlfn.IFS(G78&lt;=1,"Fresh",G78&lt;=3,"Junior",G78&lt;=7,"Teamlead",G78&gt;=7,"manger")</f>
        <v>Teamlead</v>
      </c>
      <c r="I78" t="s">
        <v>28</v>
      </c>
      <c r="J78" t="s">
        <v>18</v>
      </c>
      <c r="K78" t="s">
        <v>19</v>
      </c>
      <c r="L78">
        <v>3053</v>
      </c>
      <c r="M78">
        <v>36636</v>
      </c>
      <c r="N78">
        <v>3</v>
      </c>
      <c r="O78" t="str" cm="1">
        <f t="array" ref="O78">_xlfn.IFS(EmpTable[[#This Row],[Job Rate]] &lt;=1,"LOW",N78&lt;=2,"LOW",N78&lt;=3,"MEDIUM",N78&gt;4,"HIGH")</f>
        <v>MEDIUM</v>
      </c>
      <c r="P78">
        <v>0</v>
      </c>
      <c r="Q78">
        <v>3</v>
      </c>
      <c r="R78">
        <v>6</v>
      </c>
    </row>
    <row r="79" spans="1:18" x14ac:dyDescent="0.3">
      <c r="A79">
        <v>78</v>
      </c>
      <c r="B79" t="s">
        <v>168</v>
      </c>
      <c r="C79" t="s">
        <v>169</v>
      </c>
      <c r="D79" t="str">
        <f>_xlfn.CONCAT(EmpTable[[#This Row],[First Name]],EmpTable[[#This Row],[Last Name]])</f>
        <v>DararAlshiyraziu</v>
      </c>
      <c r="E79" t="s">
        <v>32</v>
      </c>
      <c r="F79" s="1">
        <v>43840</v>
      </c>
      <c r="G79" s="2">
        <f ca="1">DATEDIF(EmpTable[[#This Row],[Start Date]],TODAY(),"Y")</f>
        <v>6</v>
      </c>
      <c r="H79" s="2" t="str" cm="1">
        <f t="array" aca="1" ref="H79" ca="1">_xlfn.IFS(G79&lt;=1,"Fresh",G79&lt;=3,"Junior",G79&lt;=7,"Teamlead",G79&gt;=7,"manger")</f>
        <v>Teamlead</v>
      </c>
      <c r="I79" t="s">
        <v>28</v>
      </c>
      <c r="J79" t="s">
        <v>29</v>
      </c>
      <c r="K79" t="s">
        <v>19</v>
      </c>
      <c r="L79">
        <v>1887</v>
      </c>
      <c r="M79">
        <v>22644</v>
      </c>
      <c r="N79">
        <v>1</v>
      </c>
      <c r="O79" t="str" cm="1">
        <f t="array" ref="O79">_xlfn.IFS(EmpTable[[#This Row],[Job Rate]] &lt;=1,"LOW",N79&lt;=2,"LOW",N79&lt;=3,"MEDIUM",N79&gt;4,"HIGH")</f>
        <v>LOW</v>
      </c>
      <c r="P79">
        <v>6</v>
      </c>
      <c r="Q79">
        <v>0</v>
      </c>
      <c r="R79">
        <v>4</v>
      </c>
    </row>
    <row r="80" spans="1:18" x14ac:dyDescent="0.3">
      <c r="A80">
        <v>79</v>
      </c>
      <c r="B80" t="s">
        <v>170</v>
      </c>
      <c r="C80" t="s">
        <v>171</v>
      </c>
      <c r="D80" t="str">
        <f>_xlfn.CONCAT(EmpTable[[#This Row],[First Name]],EmpTable[[#This Row],[Last Name]])</f>
        <v>MazinYusif</v>
      </c>
      <c r="E80" t="s">
        <v>32</v>
      </c>
      <c r="F80" s="1">
        <v>43411</v>
      </c>
      <c r="G80" s="2">
        <f ca="1">DATEDIF(EmpTable[[#This Row],[Start Date]],TODAY(),"Y")</f>
        <v>7</v>
      </c>
      <c r="H80" s="2" t="str" cm="1">
        <f t="array" aca="1" ref="H80" ca="1">_xlfn.IFS(G80&lt;=1,"Fresh",G80&lt;=3,"Junior",G80&lt;=7,"Teamlead",G80&gt;=7,"manger")</f>
        <v>Teamlead</v>
      </c>
      <c r="I80" t="s">
        <v>28</v>
      </c>
      <c r="J80" t="s">
        <v>29</v>
      </c>
      <c r="K80" t="s">
        <v>42</v>
      </c>
      <c r="L80">
        <v>1457</v>
      </c>
      <c r="M80">
        <v>17484</v>
      </c>
      <c r="N80">
        <v>4.5</v>
      </c>
      <c r="O80" t="str" cm="1">
        <f t="array" ref="O80">_xlfn.IFS(EmpTable[[#This Row],[Job Rate]] &lt;=1,"LOW",N80&lt;=2,"LOW",N80&lt;=3,"MEDIUM",N80&gt;4,"HIGH")</f>
        <v>HIGH</v>
      </c>
      <c r="P80">
        <v>0</v>
      </c>
      <c r="Q80">
        <v>0</v>
      </c>
      <c r="R80">
        <v>9</v>
      </c>
    </row>
    <row r="81" spans="1:18" x14ac:dyDescent="0.3">
      <c r="A81">
        <v>80</v>
      </c>
      <c r="B81" t="s">
        <v>172</v>
      </c>
      <c r="C81" t="s">
        <v>173</v>
      </c>
      <c r="D81" t="str">
        <f>_xlfn.CONCAT(EmpTable[[#This Row],[First Name]],EmpTable[[#This Row],[Last Name]])</f>
        <v>RashaNaeim</v>
      </c>
      <c r="E81" t="s">
        <v>307</v>
      </c>
      <c r="F81" s="1">
        <v>43591</v>
      </c>
      <c r="G81" s="2">
        <f ca="1">DATEDIF(EmpTable[[#This Row],[Start Date]],TODAY(),"Y")</f>
        <v>6</v>
      </c>
      <c r="H81" s="2" t="str" cm="1">
        <f t="array" aca="1" ref="H81" ca="1">_xlfn.IFS(G81&lt;=1,"Fresh",G81&lt;=3,"Junior",G81&lt;=7,"Teamlead",G81&gt;=7,"manger")</f>
        <v>Teamlead</v>
      </c>
      <c r="I81" t="s">
        <v>17</v>
      </c>
      <c r="J81" t="s">
        <v>18</v>
      </c>
      <c r="K81" t="s">
        <v>42</v>
      </c>
      <c r="L81">
        <v>2581</v>
      </c>
      <c r="M81">
        <v>30972</v>
      </c>
      <c r="N81">
        <v>5</v>
      </c>
      <c r="O81" t="str" cm="1">
        <f t="array" ref="O81">_xlfn.IFS(EmpTable[[#This Row],[Job Rate]] &lt;=1,"LOW",N81&lt;=2,"LOW",N81&lt;=3,"MEDIUM",N81&gt;4,"HIGH")</f>
        <v>HIGH</v>
      </c>
      <c r="P81">
        <v>0</v>
      </c>
      <c r="Q81">
        <v>0</v>
      </c>
      <c r="R81">
        <v>8</v>
      </c>
    </row>
    <row r="82" spans="1:18" x14ac:dyDescent="0.3">
      <c r="A82">
        <v>81</v>
      </c>
      <c r="B82" t="s">
        <v>174</v>
      </c>
      <c r="C82" t="s">
        <v>175</v>
      </c>
      <c r="D82" t="str">
        <f>_xlfn.CONCAT(EmpTable[[#This Row],[First Name]],EmpTable[[#This Row],[Last Name]])</f>
        <v>EamraAlshueranii</v>
      </c>
      <c r="E82" t="s">
        <v>307</v>
      </c>
      <c r="F82" s="1">
        <v>42609</v>
      </c>
      <c r="G82" s="2">
        <f ca="1">DATEDIF(EmpTable[[#This Row],[Start Date]],TODAY(),"Y")</f>
        <v>9</v>
      </c>
      <c r="H82" s="2" t="str" cm="1">
        <f t="array" aca="1" ref="H82" ca="1">_xlfn.IFS(G82&lt;=1,"Fresh",G82&lt;=3,"Junior",G82&lt;=7,"Teamlead",G82&gt;=7,"manger")</f>
        <v>manger</v>
      </c>
      <c r="I82" t="s">
        <v>50</v>
      </c>
      <c r="J82" t="s">
        <v>29</v>
      </c>
      <c r="K82" t="s">
        <v>36</v>
      </c>
      <c r="L82">
        <v>901</v>
      </c>
      <c r="M82">
        <v>10812</v>
      </c>
      <c r="N82">
        <v>5</v>
      </c>
      <c r="O82" t="str" cm="1">
        <f t="array" ref="O82">_xlfn.IFS(EmpTable[[#This Row],[Job Rate]] &lt;=1,"LOW",N82&lt;=2,"LOW",N82&lt;=3,"MEDIUM",N82&gt;4,"HIGH")</f>
        <v>HIGH</v>
      </c>
      <c r="P82">
        <v>0</v>
      </c>
      <c r="Q82">
        <v>2</v>
      </c>
      <c r="R82">
        <v>10</v>
      </c>
    </row>
    <row r="83" spans="1:18" x14ac:dyDescent="0.3">
      <c r="A83">
        <v>82</v>
      </c>
      <c r="B83" t="s">
        <v>176</v>
      </c>
      <c r="C83" t="s">
        <v>177</v>
      </c>
      <c r="D83" t="str">
        <f>_xlfn.CONCAT(EmpTable[[#This Row],[First Name]],EmpTable[[#This Row],[Last Name]])</f>
        <v>AmiraAkrym</v>
      </c>
      <c r="E83" t="s">
        <v>307</v>
      </c>
      <c r="F83" s="1">
        <v>42544</v>
      </c>
      <c r="G83" s="2">
        <f ca="1">DATEDIF(EmpTable[[#This Row],[Start Date]],TODAY(),"Y")</f>
        <v>9</v>
      </c>
      <c r="H83" s="2" t="str" cm="1">
        <f t="array" aca="1" ref="H83" ca="1">_xlfn.IFS(G83&lt;=1,"Fresh",G83&lt;=3,"Junior",G83&lt;=7,"Teamlead",G83&gt;=7,"manger")</f>
        <v>manger</v>
      </c>
      <c r="I83" t="s">
        <v>41</v>
      </c>
      <c r="J83" t="s">
        <v>29</v>
      </c>
      <c r="K83" t="s">
        <v>42</v>
      </c>
      <c r="L83">
        <v>898</v>
      </c>
      <c r="M83">
        <v>10776</v>
      </c>
      <c r="N83">
        <v>4.5</v>
      </c>
      <c r="O83" t="str" cm="1">
        <f t="array" ref="O83">_xlfn.IFS(EmpTable[[#This Row],[Job Rate]] &lt;=1,"LOW",N83&lt;=2,"LOW",N83&lt;=3,"MEDIUM",N83&gt;4,"HIGH")</f>
        <v>HIGH</v>
      </c>
      <c r="P83">
        <v>3</v>
      </c>
      <c r="Q83">
        <v>0</v>
      </c>
      <c r="R83">
        <v>11</v>
      </c>
    </row>
    <row r="84" spans="1:18" x14ac:dyDescent="0.3">
      <c r="A84">
        <v>83</v>
      </c>
      <c r="B84" t="s">
        <v>33</v>
      </c>
      <c r="C84" t="s">
        <v>178</v>
      </c>
      <c r="D84" t="str">
        <f>_xlfn.CONCAT(EmpTable[[#This Row],[First Name]],EmpTable[[#This Row],[Last Name]])</f>
        <v>MuhamadHamzat</v>
      </c>
      <c r="E84" t="s">
        <v>32</v>
      </c>
      <c r="F84" s="1">
        <v>44069</v>
      </c>
      <c r="G84" s="2">
        <f ca="1">DATEDIF(EmpTable[[#This Row],[Start Date]],TODAY(),"Y")</f>
        <v>5</v>
      </c>
      <c r="H84" s="2" t="str" cm="1">
        <f t="array" aca="1" ref="H84" ca="1">_xlfn.IFS(G84&lt;=1,"Fresh",G84&lt;=3,"Junior",G84&lt;=7,"Teamlead",G84&gt;=7,"manger")</f>
        <v>Teamlead</v>
      </c>
      <c r="I84" t="s">
        <v>41</v>
      </c>
      <c r="J84" t="s">
        <v>18</v>
      </c>
      <c r="K84" t="s">
        <v>19</v>
      </c>
      <c r="L84">
        <v>2878</v>
      </c>
      <c r="M84">
        <v>34536</v>
      </c>
      <c r="N84">
        <v>3</v>
      </c>
      <c r="O84" t="str" cm="1">
        <f t="array" ref="O84">_xlfn.IFS(EmpTable[[#This Row],[Job Rate]] &lt;=1,"LOW",N84&lt;=2,"LOW",N84&lt;=3,"MEDIUM",N84&gt;4,"HIGH")</f>
        <v>MEDIUM</v>
      </c>
      <c r="P84">
        <v>0</v>
      </c>
      <c r="Q84">
        <v>0</v>
      </c>
      <c r="R84">
        <v>2</v>
      </c>
    </row>
    <row r="85" spans="1:18" x14ac:dyDescent="0.3">
      <c r="A85">
        <v>84</v>
      </c>
      <c r="B85" t="s">
        <v>33</v>
      </c>
      <c r="C85" t="s">
        <v>179</v>
      </c>
      <c r="D85" t="str">
        <f>_xlfn.CONCAT(EmpTable[[#This Row],[First Name]],EmpTable[[#This Row],[Last Name]])</f>
        <v>MuhamadKhayr</v>
      </c>
      <c r="E85" t="s">
        <v>32</v>
      </c>
      <c r="F85" s="1">
        <v>43116</v>
      </c>
      <c r="G85" s="2">
        <f ca="1">DATEDIF(EmpTable[[#This Row],[Start Date]],TODAY(),"Y")</f>
        <v>8</v>
      </c>
      <c r="H85" s="2" t="str" cm="1">
        <f t="array" aca="1" ref="H85" ca="1">_xlfn.IFS(G85&lt;=1,"Fresh",G85&lt;=3,"Junior",G85&lt;=7,"Teamlead",G85&gt;=7,"manger")</f>
        <v>manger</v>
      </c>
      <c r="I85" t="s">
        <v>93</v>
      </c>
      <c r="J85" t="s">
        <v>18</v>
      </c>
      <c r="K85" t="s">
        <v>42</v>
      </c>
      <c r="L85">
        <v>2539</v>
      </c>
      <c r="M85">
        <v>30468</v>
      </c>
      <c r="N85">
        <v>3</v>
      </c>
      <c r="O85" t="str" cm="1">
        <f t="array" ref="O85">_xlfn.IFS(EmpTable[[#This Row],[Job Rate]] &lt;=1,"LOW",N85&lt;=2,"LOW",N85&lt;=3,"MEDIUM",N85&gt;4,"HIGH")</f>
        <v>MEDIUM</v>
      </c>
      <c r="P85">
        <v>0</v>
      </c>
      <c r="Q85">
        <v>0</v>
      </c>
      <c r="R85">
        <v>0</v>
      </c>
    </row>
    <row r="86" spans="1:18" x14ac:dyDescent="0.3">
      <c r="A86">
        <v>85</v>
      </c>
      <c r="B86" t="s">
        <v>180</v>
      </c>
      <c r="C86" t="s">
        <v>181</v>
      </c>
      <c r="D86" t="str">
        <f>_xlfn.CONCAT(EmpTable[[#This Row],[First Name]],EmpTable[[#This Row],[Last Name]])</f>
        <v>Abd AlmalikNazal</v>
      </c>
      <c r="E86" t="s">
        <v>32</v>
      </c>
      <c r="F86" s="1">
        <v>43286</v>
      </c>
      <c r="G86" s="2">
        <f ca="1">DATEDIF(EmpTable[[#This Row],[Start Date]],TODAY(),"Y")</f>
        <v>7</v>
      </c>
      <c r="H86" s="2" t="str" cm="1">
        <f t="array" aca="1" ref="H86" ca="1">_xlfn.IFS(G86&lt;=1,"Fresh",G86&lt;=3,"Junior",G86&lt;=7,"Teamlead",G86&gt;=7,"manger")</f>
        <v>Teamlead</v>
      </c>
      <c r="I86" t="s">
        <v>17</v>
      </c>
      <c r="J86" t="s">
        <v>18</v>
      </c>
      <c r="K86" t="s">
        <v>36</v>
      </c>
      <c r="L86">
        <v>2533</v>
      </c>
      <c r="M86">
        <v>30396</v>
      </c>
      <c r="N86">
        <v>5</v>
      </c>
      <c r="O86" t="str" cm="1">
        <f t="array" ref="O86">_xlfn.IFS(EmpTable[[#This Row],[Job Rate]] &lt;=1,"LOW",N86&lt;=2,"LOW",N86&lt;=3,"MEDIUM",N86&gt;4,"HIGH")</f>
        <v>HIGH</v>
      </c>
      <c r="P86">
        <v>0</v>
      </c>
      <c r="Q86">
        <v>0</v>
      </c>
      <c r="R86">
        <v>2</v>
      </c>
    </row>
    <row r="87" spans="1:18" x14ac:dyDescent="0.3">
      <c r="A87">
        <v>86</v>
      </c>
      <c r="B87" t="s">
        <v>182</v>
      </c>
      <c r="C87" t="s">
        <v>183</v>
      </c>
      <c r="D87" t="str">
        <f>_xlfn.CONCAT(EmpTable[[#This Row],[First Name]],EmpTable[[#This Row],[Last Name]])</f>
        <v>RabyaKiwan</v>
      </c>
      <c r="E87" t="s">
        <v>307</v>
      </c>
      <c r="F87" s="1">
        <v>43481</v>
      </c>
      <c r="G87" s="2">
        <f ca="1">DATEDIF(EmpTable[[#This Row],[Start Date]],TODAY(),"Y")</f>
        <v>7</v>
      </c>
      <c r="H87" s="2" t="str" cm="1">
        <f t="array" aca="1" ref="H87" ca="1">_xlfn.IFS(G87&lt;=1,"Fresh",G87&lt;=3,"Junior",G87&lt;=7,"Teamlead",G87&gt;=7,"manger")</f>
        <v>Teamlead</v>
      </c>
      <c r="I87" t="s">
        <v>76</v>
      </c>
      <c r="J87" t="s">
        <v>18</v>
      </c>
      <c r="K87" t="s">
        <v>19</v>
      </c>
      <c r="L87">
        <v>885</v>
      </c>
      <c r="M87">
        <v>10620</v>
      </c>
      <c r="N87">
        <v>3</v>
      </c>
      <c r="O87" t="str" cm="1">
        <f t="array" ref="O87">_xlfn.IFS(EmpTable[[#This Row],[Job Rate]] &lt;=1,"LOW",N87&lt;=2,"LOW",N87&lt;=3,"MEDIUM",N87&gt;4,"HIGH")</f>
        <v>MEDIUM</v>
      </c>
      <c r="P87">
        <v>0</v>
      </c>
      <c r="Q87">
        <v>0</v>
      </c>
      <c r="R87">
        <v>3</v>
      </c>
    </row>
    <row r="88" spans="1:18" x14ac:dyDescent="0.3">
      <c r="A88">
        <v>87</v>
      </c>
      <c r="B88" t="s">
        <v>33</v>
      </c>
      <c r="C88" t="s">
        <v>179</v>
      </c>
      <c r="D88" t="str">
        <f>_xlfn.CONCAT(EmpTable[[#This Row],[First Name]],EmpTable[[#This Row],[Last Name]])</f>
        <v>MuhamadKhayr</v>
      </c>
      <c r="E88" t="s">
        <v>32</v>
      </c>
      <c r="F88" s="1">
        <v>43635</v>
      </c>
      <c r="G88" s="2">
        <f ca="1">DATEDIF(EmpTable[[#This Row],[Start Date]],TODAY(),"Y")</f>
        <v>6</v>
      </c>
      <c r="H88" s="2" t="str" cm="1">
        <f t="array" aca="1" ref="H88" ca="1">_xlfn.IFS(G88&lt;=1,"Fresh",G88&lt;=3,"Junior",G88&lt;=7,"Teamlead",G88&gt;=7,"manger")</f>
        <v>Teamlead</v>
      </c>
      <c r="I88" t="s">
        <v>53</v>
      </c>
      <c r="J88" t="s">
        <v>29</v>
      </c>
      <c r="K88" t="s">
        <v>19</v>
      </c>
      <c r="L88">
        <v>1166</v>
      </c>
      <c r="M88">
        <v>13992</v>
      </c>
      <c r="N88">
        <v>5</v>
      </c>
      <c r="O88" t="str" cm="1">
        <f t="array" ref="O88">_xlfn.IFS(EmpTable[[#This Row],[Job Rate]] &lt;=1,"LOW",N88&lt;=2,"LOW",N88&lt;=3,"MEDIUM",N88&gt;4,"HIGH")</f>
        <v>HIGH</v>
      </c>
      <c r="P88">
        <v>0</v>
      </c>
      <c r="Q88">
        <v>4</v>
      </c>
      <c r="R88">
        <v>5</v>
      </c>
    </row>
    <row r="89" spans="1:18" x14ac:dyDescent="0.3">
      <c r="A89">
        <v>88</v>
      </c>
      <c r="B89" t="s">
        <v>184</v>
      </c>
      <c r="C89" t="s">
        <v>185</v>
      </c>
      <c r="D89" t="str">
        <f>_xlfn.CONCAT(EmpTable[[#This Row],[First Name]],EmpTable[[#This Row],[Last Name]])</f>
        <v>SamahAlmaydanii</v>
      </c>
      <c r="E89" t="s">
        <v>307</v>
      </c>
      <c r="F89" s="1">
        <v>43009</v>
      </c>
      <c r="G89" s="2">
        <f ca="1">DATEDIF(EmpTable[[#This Row],[Start Date]],TODAY(),"Y")</f>
        <v>8</v>
      </c>
      <c r="H89" s="2" t="str" cm="1">
        <f t="array" aca="1" ref="H89" ca="1">_xlfn.IFS(G89&lt;=1,"Fresh",G89&lt;=3,"Junior",G89&lt;=7,"Teamlead",G89&gt;=7,"manger")</f>
        <v>manger</v>
      </c>
      <c r="I89" t="s">
        <v>41</v>
      </c>
      <c r="J89" t="s">
        <v>29</v>
      </c>
      <c r="K89" t="s">
        <v>19</v>
      </c>
      <c r="L89">
        <v>2022</v>
      </c>
      <c r="M89">
        <v>24264</v>
      </c>
      <c r="N89">
        <v>5</v>
      </c>
      <c r="O89" t="str" cm="1">
        <f t="array" ref="O89">_xlfn.IFS(EmpTable[[#This Row],[Job Rate]] &lt;=1,"LOW",N89&lt;=2,"LOW",N89&lt;=3,"MEDIUM",N89&gt;4,"HIGH")</f>
        <v>HIGH</v>
      </c>
      <c r="P89">
        <v>0</v>
      </c>
      <c r="Q89">
        <v>0</v>
      </c>
      <c r="R89">
        <v>3</v>
      </c>
    </row>
    <row r="90" spans="1:18" x14ac:dyDescent="0.3">
      <c r="A90">
        <v>89</v>
      </c>
      <c r="B90" t="s">
        <v>186</v>
      </c>
      <c r="C90" t="s">
        <v>187</v>
      </c>
      <c r="D90" t="str">
        <f>_xlfn.CONCAT(EmpTable[[#This Row],[First Name]],EmpTable[[#This Row],[Last Name]])</f>
        <v>AliWatar</v>
      </c>
      <c r="E90" t="s">
        <v>32</v>
      </c>
      <c r="F90" s="1">
        <v>43856</v>
      </c>
      <c r="G90" s="2">
        <f ca="1">DATEDIF(EmpTable[[#This Row],[Start Date]],TODAY(),"Y")</f>
        <v>6</v>
      </c>
      <c r="H90" s="2" t="str" cm="1">
        <f t="array" aca="1" ref="H90" ca="1">_xlfn.IFS(G90&lt;=1,"Fresh",G90&lt;=3,"Junior",G90&lt;=7,"Teamlead",G90&gt;=7,"manger")</f>
        <v>Teamlead</v>
      </c>
      <c r="I90" t="s">
        <v>76</v>
      </c>
      <c r="J90" t="s">
        <v>18</v>
      </c>
      <c r="K90" t="s">
        <v>42</v>
      </c>
      <c r="L90">
        <v>1752</v>
      </c>
      <c r="M90">
        <v>21024</v>
      </c>
      <c r="N90">
        <v>2</v>
      </c>
      <c r="O90" t="str" cm="1">
        <f t="array" ref="O90">_xlfn.IFS(EmpTable[[#This Row],[Job Rate]] &lt;=1,"LOW",N90&lt;=2,"LOW",N90&lt;=3,"MEDIUM",N90&gt;4,"HIGH")</f>
        <v>LOW</v>
      </c>
      <c r="P90">
        <v>5</v>
      </c>
      <c r="Q90">
        <v>4</v>
      </c>
      <c r="R90">
        <v>76</v>
      </c>
    </row>
    <row r="91" spans="1:18" x14ac:dyDescent="0.3">
      <c r="A91">
        <v>90</v>
      </c>
      <c r="B91" t="s">
        <v>188</v>
      </c>
      <c r="C91" t="s">
        <v>189</v>
      </c>
      <c r="D91" t="str">
        <f>_xlfn.CONCAT(EmpTable[[#This Row],[First Name]],EmpTable[[#This Row],[Last Name]])</f>
        <v>DarinGhunum</v>
      </c>
      <c r="E91" t="s">
        <v>307</v>
      </c>
      <c r="F91" s="1">
        <v>43666</v>
      </c>
      <c r="G91" s="2">
        <f ca="1">DATEDIF(EmpTable[[#This Row],[Start Date]],TODAY(),"Y")</f>
        <v>6</v>
      </c>
      <c r="H91" s="2" t="str" cm="1">
        <f t="array" aca="1" ref="H91" ca="1">_xlfn.IFS(G91&lt;=1,"Fresh",G91&lt;=3,"Junior",G91&lt;=7,"Teamlead",G91&gt;=7,"manger")</f>
        <v>Teamlead</v>
      </c>
      <c r="I91" t="s">
        <v>50</v>
      </c>
      <c r="J91" t="s">
        <v>18</v>
      </c>
      <c r="K91" t="s">
        <v>42</v>
      </c>
      <c r="L91">
        <v>3157</v>
      </c>
      <c r="M91">
        <v>37884</v>
      </c>
      <c r="N91">
        <v>1</v>
      </c>
      <c r="O91" t="str" cm="1">
        <f t="array" ref="O91">_xlfn.IFS(EmpTable[[#This Row],[Job Rate]] &lt;=1,"LOW",N91&lt;=2,"LOW",N91&lt;=3,"MEDIUM",N91&gt;4,"HIGH")</f>
        <v>LOW</v>
      </c>
      <c r="P91">
        <v>6</v>
      </c>
      <c r="Q91">
        <v>1</v>
      </c>
      <c r="R91">
        <v>4</v>
      </c>
    </row>
    <row r="92" spans="1:18" x14ac:dyDescent="0.3">
      <c r="A92">
        <v>91</v>
      </c>
      <c r="B92" t="s">
        <v>127</v>
      </c>
      <c r="C92" t="s">
        <v>190</v>
      </c>
      <c r="D92" t="str">
        <f>_xlfn.CONCAT(EmpTable[[#This Row],[First Name]],EmpTable[[#This Row],[Last Name]])</f>
        <v>FarasAlhamal</v>
      </c>
      <c r="E92" t="s">
        <v>32</v>
      </c>
      <c r="F92" s="1">
        <v>44039</v>
      </c>
      <c r="G92" s="2">
        <f ca="1">DATEDIF(EmpTable[[#This Row],[Start Date]],TODAY(),"Y")</f>
        <v>5</v>
      </c>
      <c r="H92" s="2" t="str" cm="1">
        <f t="array" aca="1" ref="H92" ca="1">_xlfn.IFS(G92&lt;=1,"Fresh",G92&lt;=3,"Junior",G92&lt;=7,"Teamlead",G92&gt;=7,"manger")</f>
        <v>Teamlead</v>
      </c>
      <c r="I92" t="s">
        <v>17</v>
      </c>
      <c r="J92" t="s">
        <v>18</v>
      </c>
      <c r="K92" t="s">
        <v>42</v>
      </c>
      <c r="L92">
        <v>3211</v>
      </c>
      <c r="M92">
        <v>38532</v>
      </c>
      <c r="N92">
        <v>5</v>
      </c>
      <c r="O92" t="str" cm="1">
        <f t="array" ref="O92">_xlfn.IFS(EmpTable[[#This Row],[Job Rate]] &lt;=1,"LOW",N92&lt;=2,"LOW",N92&lt;=3,"MEDIUM",N92&gt;4,"HIGH")</f>
        <v>HIGH</v>
      </c>
      <c r="P92">
        <v>6</v>
      </c>
      <c r="Q92">
        <v>1</v>
      </c>
      <c r="R92">
        <v>9</v>
      </c>
    </row>
    <row r="93" spans="1:18" x14ac:dyDescent="0.3">
      <c r="A93">
        <v>92</v>
      </c>
      <c r="B93" t="s">
        <v>191</v>
      </c>
      <c r="C93" t="s">
        <v>145</v>
      </c>
      <c r="D93" t="str">
        <f>_xlfn.CONCAT(EmpTable[[#This Row],[First Name]],EmpTable[[#This Row],[Last Name]])</f>
        <v>AmalAsamy</v>
      </c>
      <c r="E93" t="s">
        <v>307</v>
      </c>
      <c r="F93" s="1">
        <v>43384</v>
      </c>
      <c r="G93" s="2">
        <f ca="1">DATEDIF(EmpTable[[#This Row],[Start Date]],TODAY(),"Y")</f>
        <v>7</v>
      </c>
      <c r="H93" s="2" t="str" cm="1">
        <f t="array" aca="1" ref="H93" ca="1">_xlfn.IFS(G93&lt;=1,"Fresh",G93&lt;=3,"Junior",G93&lt;=7,"Teamlead",G93&gt;=7,"manger")</f>
        <v>Teamlead</v>
      </c>
      <c r="I93" t="s">
        <v>77</v>
      </c>
      <c r="J93" t="s">
        <v>18</v>
      </c>
      <c r="K93" t="s">
        <v>36</v>
      </c>
      <c r="L93">
        <v>1062</v>
      </c>
      <c r="M93">
        <v>12744</v>
      </c>
      <c r="N93">
        <v>3</v>
      </c>
      <c r="O93" t="str" cm="1">
        <f t="array" ref="O93">_xlfn.IFS(EmpTable[[#This Row],[Job Rate]] &lt;=1,"LOW",N93&lt;=2,"LOW",N93&lt;=3,"MEDIUM",N93&gt;4,"HIGH")</f>
        <v>MEDIUM</v>
      </c>
      <c r="P93">
        <v>1</v>
      </c>
      <c r="Q93">
        <v>0</v>
      </c>
      <c r="R93">
        <v>7</v>
      </c>
    </row>
    <row r="94" spans="1:18" x14ac:dyDescent="0.3">
      <c r="A94">
        <v>93</v>
      </c>
      <c r="B94" t="s">
        <v>192</v>
      </c>
      <c r="C94" t="s">
        <v>193</v>
      </c>
      <c r="D94" t="str">
        <f>_xlfn.CONCAT(EmpTable[[#This Row],[First Name]],EmpTable[[#This Row],[Last Name]])</f>
        <v>RazanAlAhmad</v>
      </c>
      <c r="E94" t="s">
        <v>307</v>
      </c>
      <c r="F94" s="1">
        <v>43657</v>
      </c>
      <c r="G94" s="2">
        <f ca="1">DATEDIF(EmpTable[[#This Row],[Start Date]],TODAY(),"Y")</f>
        <v>6</v>
      </c>
      <c r="H94" s="2" t="str" cm="1">
        <f t="array" aca="1" ref="H94" ca="1">_xlfn.IFS(G94&lt;=1,"Fresh",G94&lt;=3,"Junior",G94&lt;=7,"Teamlead",G94&gt;=7,"manger")</f>
        <v>Teamlead</v>
      </c>
      <c r="I94" t="s">
        <v>53</v>
      </c>
      <c r="J94" t="s">
        <v>18</v>
      </c>
      <c r="K94" t="s">
        <v>42</v>
      </c>
      <c r="L94">
        <v>1406</v>
      </c>
      <c r="M94">
        <v>16872</v>
      </c>
      <c r="N94">
        <v>4.5</v>
      </c>
      <c r="O94" t="str" cm="1">
        <f t="array" ref="O94">_xlfn.IFS(EmpTable[[#This Row],[Job Rate]] &lt;=1,"LOW",N94&lt;=2,"LOW",N94&lt;=3,"MEDIUM",N94&gt;4,"HIGH")</f>
        <v>HIGH</v>
      </c>
      <c r="P94">
        <v>4</v>
      </c>
      <c r="Q94">
        <v>0</v>
      </c>
      <c r="R94">
        <v>46</v>
      </c>
    </row>
    <row r="95" spans="1:18" x14ac:dyDescent="0.3">
      <c r="A95">
        <v>94</v>
      </c>
      <c r="B95" t="s">
        <v>33</v>
      </c>
      <c r="C95" t="s">
        <v>194</v>
      </c>
      <c r="D95" t="str">
        <f>_xlfn.CONCAT(EmpTable[[#This Row],[First Name]],EmpTable[[#This Row],[Last Name]])</f>
        <v>MuhamadKharasah</v>
      </c>
      <c r="E95" t="s">
        <v>32</v>
      </c>
      <c r="F95" s="1">
        <v>43694</v>
      </c>
      <c r="G95" s="2">
        <f ca="1">DATEDIF(EmpTable[[#This Row],[Start Date]],TODAY(),"Y")</f>
        <v>6</v>
      </c>
      <c r="H95" s="2" t="str" cm="1">
        <f t="array" aca="1" ref="H95" ca="1">_xlfn.IFS(G95&lt;=1,"Fresh",G95&lt;=3,"Junior",G95&lt;=7,"Teamlead",G95&gt;=7,"manger")</f>
        <v>Teamlead</v>
      </c>
      <c r="I95" t="s">
        <v>93</v>
      </c>
      <c r="J95" t="s">
        <v>29</v>
      </c>
      <c r="K95" t="s">
        <v>19</v>
      </c>
      <c r="L95">
        <v>3084</v>
      </c>
      <c r="M95">
        <v>37008</v>
      </c>
      <c r="N95">
        <v>3</v>
      </c>
      <c r="O95" t="str" cm="1">
        <f t="array" ref="O95">_xlfn.IFS(EmpTable[[#This Row],[Job Rate]] &lt;=1,"LOW",N95&lt;=2,"LOW",N95&lt;=3,"MEDIUM",N95&gt;4,"HIGH")</f>
        <v>MEDIUM</v>
      </c>
      <c r="P95">
        <v>6</v>
      </c>
      <c r="Q95">
        <v>0</v>
      </c>
      <c r="R95">
        <v>3</v>
      </c>
    </row>
    <row r="96" spans="1:18" x14ac:dyDescent="0.3">
      <c r="A96">
        <v>95</v>
      </c>
      <c r="B96" t="s">
        <v>195</v>
      </c>
      <c r="C96" t="s">
        <v>196</v>
      </c>
      <c r="D96" t="str">
        <f>_xlfn.CONCAT(EmpTable[[#This Row],[First Name]],EmpTable[[#This Row],[Last Name]])</f>
        <v>TariqBryghl</v>
      </c>
      <c r="E96" t="s">
        <v>32</v>
      </c>
      <c r="F96" s="1">
        <v>44139</v>
      </c>
      <c r="G96" s="2">
        <f ca="1">DATEDIF(EmpTable[[#This Row],[Start Date]],TODAY(),"Y")</f>
        <v>5</v>
      </c>
      <c r="H96" s="2" t="str" cm="1">
        <f t="array" aca="1" ref="H96" ca="1">_xlfn.IFS(G96&lt;=1,"Fresh",G96&lt;=3,"Junior",G96&lt;=7,"Teamlead",G96&gt;=7,"manger")</f>
        <v>Teamlead</v>
      </c>
      <c r="I96" t="s">
        <v>58</v>
      </c>
      <c r="J96" t="s">
        <v>18</v>
      </c>
      <c r="K96" t="s">
        <v>42</v>
      </c>
      <c r="L96">
        <v>1815</v>
      </c>
      <c r="M96">
        <v>21780</v>
      </c>
      <c r="N96">
        <v>4.5</v>
      </c>
      <c r="O96" t="str" cm="1">
        <f t="array" ref="O96">_xlfn.IFS(EmpTable[[#This Row],[Job Rate]] &lt;=1,"LOW",N96&lt;=2,"LOW",N96&lt;=3,"MEDIUM",N96&gt;4,"HIGH")</f>
        <v>HIGH</v>
      </c>
      <c r="P96">
        <v>1</v>
      </c>
      <c r="Q96">
        <v>0</v>
      </c>
      <c r="R96">
        <v>9</v>
      </c>
    </row>
    <row r="97" spans="1:18" x14ac:dyDescent="0.3">
      <c r="A97">
        <v>96</v>
      </c>
      <c r="B97" t="s">
        <v>33</v>
      </c>
      <c r="C97" t="s">
        <v>64</v>
      </c>
      <c r="D97" t="str">
        <f>_xlfn.CONCAT(EmpTable[[#This Row],[First Name]],EmpTable[[#This Row],[Last Name]])</f>
        <v>MuhamadHusayn</v>
      </c>
      <c r="E97" t="s">
        <v>32</v>
      </c>
      <c r="F97" s="1">
        <v>42937</v>
      </c>
      <c r="G97" s="2">
        <f ca="1">DATEDIF(EmpTable[[#This Row],[Start Date]],TODAY(),"Y")</f>
        <v>8</v>
      </c>
      <c r="H97" s="2" t="str" cm="1">
        <f t="array" aca="1" ref="H97" ca="1">_xlfn.IFS(G97&lt;=1,"Fresh",G97&lt;=3,"Junior",G97&lt;=7,"Teamlead",G97&gt;=7,"manger")</f>
        <v>manger</v>
      </c>
      <c r="I97" t="s">
        <v>50</v>
      </c>
      <c r="J97" t="s">
        <v>29</v>
      </c>
      <c r="K97" t="s">
        <v>42</v>
      </c>
      <c r="L97">
        <v>1861</v>
      </c>
      <c r="M97">
        <v>22332</v>
      </c>
      <c r="N97">
        <v>3</v>
      </c>
      <c r="O97" t="str" cm="1">
        <f t="array" ref="O97">_xlfn.IFS(EmpTable[[#This Row],[Job Rate]] &lt;=1,"LOW",N97&lt;=2,"LOW",N97&lt;=3,"MEDIUM",N97&gt;4,"HIGH")</f>
        <v>MEDIUM</v>
      </c>
      <c r="P97">
        <v>0</v>
      </c>
      <c r="Q97">
        <v>5</v>
      </c>
      <c r="R97">
        <v>9</v>
      </c>
    </row>
    <row r="98" spans="1:18" x14ac:dyDescent="0.3">
      <c r="A98">
        <v>97</v>
      </c>
      <c r="B98" t="s">
        <v>197</v>
      </c>
      <c r="C98" t="s">
        <v>198</v>
      </c>
      <c r="D98" t="str">
        <f>_xlfn.CONCAT(EmpTable[[#This Row],[First Name]],EmpTable[[#This Row],[Last Name]])</f>
        <v>FadiAleid</v>
      </c>
      <c r="E98" t="s">
        <v>32</v>
      </c>
      <c r="F98" s="1">
        <v>43200</v>
      </c>
      <c r="G98" s="2">
        <f ca="1">DATEDIF(EmpTable[[#This Row],[Start Date]],TODAY(),"Y")</f>
        <v>7</v>
      </c>
      <c r="H98" s="2" t="str" cm="1">
        <f t="array" aca="1" ref="H98" ca="1">_xlfn.IFS(G98&lt;=1,"Fresh",G98&lt;=3,"Junior",G98&lt;=7,"Teamlead",G98&gt;=7,"manger")</f>
        <v>Teamlead</v>
      </c>
      <c r="I98" t="s">
        <v>28</v>
      </c>
      <c r="J98" t="s">
        <v>29</v>
      </c>
      <c r="K98" t="s">
        <v>36</v>
      </c>
      <c r="L98">
        <v>3088</v>
      </c>
      <c r="M98">
        <v>37056</v>
      </c>
      <c r="N98">
        <v>5</v>
      </c>
      <c r="O98" t="str" cm="1">
        <f t="array" ref="O98">_xlfn.IFS(EmpTable[[#This Row],[Job Rate]] &lt;=1,"LOW",N98&lt;=2,"LOW",N98&lt;=3,"MEDIUM",N98&gt;4,"HIGH")</f>
        <v>HIGH</v>
      </c>
      <c r="P98">
        <v>3</v>
      </c>
      <c r="Q98">
        <v>0</v>
      </c>
      <c r="R98">
        <v>10</v>
      </c>
    </row>
    <row r="99" spans="1:18" x14ac:dyDescent="0.3">
      <c r="A99">
        <v>98</v>
      </c>
      <c r="B99" t="s">
        <v>195</v>
      </c>
      <c r="C99" t="s">
        <v>199</v>
      </c>
      <c r="D99" t="str">
        <f>_xlfn.CONCAT(EmpTable[[#This Row],[First Name]],EmpTable[[#This Row],[Last Name]])</f>
        <v>TariqAbuzahir</v>
      </c>
      <c r="E99" t="s">
        <v>32</v>
      </c>
      <c r="F99" s="1">
        <v>42858</v>
      </c>
      <c r="G99" s="2">
        <f ca="1">DATEDIF(EmpTable[[#This Row],[Start Date]],TODAY(),"Y")</f>
        <v>8</v>
      </c>
      <c r="H99" s="2" t="str" cm="1">
        <f t="array" aca="1" ref="H99" ca="1">_xlfn.IFS(G99&lt;=1,"Fresh",G99&lt;=3,"Junior",G99&lt;=7,"Teamlead",G99&gt;=7,"manger")</f>
        <v>manger</v>
      </c>
      <c r="I99" t="s">
        <v>200</v>
      </c>
      <c r="J99" t="s">
        <v>48</v>
      </c>
      <c r="K99" t="s">
        <v>42</v>
      </c>
      <c r="L99">
        <v>3071</v>
      </c>
      <c r="M99">
        <v>36852</v>
      </c>
      <c r="N99">
        <v>5</v>
      </c>
      <c r="O99" t="str" cm="1">
        <f t="array" ref="O99">_xlfn.IFS(EmpTable[[#This Row],[Job Rate]] &lt;=1,"LOW",N99&lt;=2,"LOW",N99&lt;=3,"MEDIUM",N99&gt;4,"HIGH")</f>
        <v>HIGH</v>
      </c>
      <c r="P99">
        <v>6</v>
      </c>
      <c r="Q99">
        <v>0</v>
      </c>
      <c r="R99">
        <v>2</v>
      </c>
    </row>
    <row r="100" spans="1:18" x14ac:dyDescent="0.3">
      <c r="A100">
        <v>99</v>
      </c>
      <c r="B100" t="s">
        <v>170</v>
      </c>
      <c r="C100" t="s">
        <v>126</v>
      </c>
      <c r="D100" t="str">
        <f>_xlfn.CONCAT(EmpTable[[#This Row],[First Name]],EmpTable[[#This Row],[Last Name]])</f>
        <v>MazinEubayd</v>
      </c>
      <c r="E100" t="s">
        <v>32</v>
      </c>
      <c r="F100" s="1">
        <v>43433</v>
      </c>
      <c r="G100" s="2">
        <f ca="1">DATEDIF(EmpTable[[#This Row],[Start Date]],TODAY(),"Y")</f>
        <v>7</v>
      </c>
      <c r="H100" s="2" t="str" cm="1">
        <f t="array" aca="1" ref="H100" ca="1">_xlfn.IFS(G100&lt;=1,"Fresh",G100&lt;=3,"Junior",G100&lt;=7,"Teamlead",G100&gt;=7,"manger")</f>
        <v>Teamlead</v>
      </c>
      <c r="I100" t="s">
        <v>28</v>
      </c>
      <c r="J100" t="s">
        <v>29</v>
      </c>
      <c r="K100" t="s">
        <v>36</v>
      </c>
      <c r="L100">
        <v>3298</v>
      </c>
      <c r="M100">
        <v>39576</v>
      </c>
      <c r="N100">
        <v>3</v>
      </c>
      <c r="O100" t="str" cm="1">
        <f t="array" ref="O100">_xlfn.IFS(EmpTable[[#This Row],[Job Rate]] &lt;=1,"LOW",N100&lt;=2,"LOW",N100&lt;=3,"MEDIUM",N100&gt;4,"HIGH")</f>
        <v>MEDIUM</v>
      </c>
      <c r="P100">
        <v>0</v>
      </c>
      <c r="Q100">
        <v>0</v>
      </c>
      <c r="R100">
        <v>9</v>
      </c>
    </row>
    <row r="101" spans="1:18" x14ac:dyDescent="0.3">
      <c r="A101">
        <v>100</v>
      </c>
      <c r="B101" t="s">
        <v>84</v>
      </c>
      <c r="C101" t="s">
        <v>201</v>
      </c>
      <c r="D101" t="str">
        <f>_xlfn.CONCAT(EmpTable[[#This Row],[First Name]],EmpTable[[#This Row],[Last Name]])</f>
        <v>LinaAljabr</v>
      </c>
      <c r="E101" t="s">
        <v>307</v>
      </c>
      <c r="F101" s="1">
        <v>43339</v>
      </c>
      <c r="G101" s="2">
        <f ca="1">DATEDIF(EmpTable[[#This Row],[Start Date]],TODAY(),"Y")</f>
        <v>7</v>
      </c>
      <c r="H101" s="2" t="str" cm="1">
        <f t="array" aca="1" ref="H101" ca="1">_xlfn.IFS(G101&lt;=1,"Fresh",G101&lt;=3,"Junior",G101&lt;=7,"Teamlead",G101&gt;=7,"manger")</f>
        <v>Teamlead</v>
      </c>
      <c r="I101" t="s">
        <v>35</v>
      </c>
      <c r="J101" t="s">
        <v>22</v>
      </c>
      <c r="K101" t="s">
        <v>36</v>
      </c>
      <c r="L101">
        <v>828</v>
      </c>
      <c r="M101">
        <v>9936</v>
      </c>
      <c r="N101">
        <v>5</v>
      </c>
      <c r="O101" t="str" cm="1">
        <f t="array" ref="O101">_xlfn.IFS(EmpTable[[#This Row],[Job Rate]] &lt;=1,"LOW",N101&lt;=2,"LOW",N101&lt;=3,"MEDIUM",N101&gt;4,"HIGH")</f>
        <v>HIGH</v>
      </c>
      <c r="P101">
        <v>0</v>
      </c>
      <c r="Q101">
        <v>0</v>
      </c>
      <c r="R101">
        <v>10</v>
      </c>
    </row>
    <row r="102" spans="1:18" x14ac:dyDescent="0.3">
      <c r="A102">
        <v>101</v>
      </c>
      <c r="B102" t="s">
        <v>33</v>
      </c>
      <c r="C102" t="s">
        <v>125</v>
      </c>
      <c r="D102" t="str">
        <f>_xlfn.CONCAT(EmpTable[[#This Row],[First Name]],EmpTable[[#This Row],[Last Name]])</f>
        <v>MuhamadAyman</v>
      </c>
      <c r="E102" t="s">
        <v>32</v>
      </c>
      <c r="F102" s="1">
        <v>43786</v>
      </c>
      <c r="G102" s="2">
        <f ca="1">DATEDIF(EmpTable[[#This Row],[Start Date]],TODAY(),"Y")</f>
        <v>6</v>
      </c>
      <c r="H102" s="2" t="str" cm="1">
        <f t="array" aca="1" ref="H102" ca="1">_xlfn.IFS(G102&lt;=1,"Fresh",G102&lt;=3,"Junior",G102&lt;=7,"Teamlead",G102&gt;=7,"manger")</f>
        <v>Teamlead</v>
      </c>
      <c r="I102" t="s">
        <v>28</v>
      </c>
      <c r="J102" t="s">
        <v>18</v>
      </c>
      <c r="K102" t="s">
        <v>36</v>
      </c>
      <c r="L102">
        <v>2404</v>
      </c>
      <c r="M102">
        <v>28848</v>
      </c>
      <c r="N102">
        <v>4.5</v>
      </c>
      <c r="O102" t="str" cm="1">
        <f t="array" ref="O102">_xlfn.IFS(EmpTable[[#This Row],[Job Rate]] &lt;=1,"LOW",N102&lt;=2,"LOW",N102&lt;=3,"MEDIUM",N102&gt;4,"HIGH")</f>
        <v>HIGH</v>
      </c>
      <c r="P102">
        <v>0</v>
      </c>
      <c r="Q102">
        <v>0</v>
      </c>
      <c r="R102">
        <v>99</v>
      </c>
    </row>
    <row r="103" spans="1:18" x14ac:dyDescent="0.3">
      <c r="A103">
        <v>102</v>
      </c>
      <c r="B103" t="s">
        <v>125</v>
      </c>
      <c r="C103" t="s">
        <v>33</v>
      </c>
      <c r="D103" t="str">
        <f>_xlfn.CONCAT(EmpTable[[#This Row],[First Name]],EmpTable[[#This Row],[Last Name]])</f>
        <v>AymanMuhamad</v>
      </c>
      <c r="E103" t="s">
        <v>32</v>
      </c>
      <c r="F103" s="1">
        <v>43740</v>
      </c>
      <c r="G103" s="2">
        <f ca="1">DATEDIF(EmpTable[[#This Row],[Start Date]],TODAY(),"Y")</f>
        <v>6</v>
      </c>
      <c r="H103" s="2" t="str" cm="1">
        <f t="array" aca="1" ref="H103" ca="1">_xlfn.IFS(G103&lt;=1,"Fresh",G103&lt;=3,"Junior",G103&lt;=7,"Teamlead",G103&gt;=7,"manger")</f>
        <v>Teamlead</v>
      </c>
      <c r="I103" t="s">
        <v>58</v>
      </c>
      <c r="J103" t="s">
        <v>18</v>
      </c>
      <c r="K103" t="s">
        <v>60</v>
      </c>
      <c r="L103">
        <v>3410</v>
      </c>
      <c r="M103">
        <v>40920</v>
      </c>
      <c r="N103">
        <v>3</v>
      </c>
      <c r="O103" t="str" cm="1">
        <f t="array" ref="O103">_xlfn.IFS(EmpTable[[#This Row],[Job Rate]] &lt;=1,"LOW",N103&lt;=2,"LOW",N103&lt;=3,"MEDIUM",N103&gt;4,"HIGH")</f>
        <v>MEDIUM</v>
      </c>
      <c r="P103">
        <v>2</v>
      </c>
      <c r="Q103">
        <v>0</v>
      </c>
      <c r="R103">
        <v>8</v>
      </c>
    </row>
    <row r="104" spans="1:18" x14ac:dyDescent="0.3">
      <c r="A104">
        <v>103</v>
      </c>
      <c r="B104" t="s">
        <v>30</v>
      </c>
      <c r="C104" t="s">
        <v>202</v>
      </c>
      <c r="D104" t="str">
        <f>_xlfn.CONCAT(EmpTable[[#This Row],[First Name]],EmpTable[[#This Row],[Last Name]])</f>
        <v>AhmadAbu Eadlh</v>
      </c>
      <c r="E104" t="s">
        <v>32</v>
      </c>
      <c r="F104" s="1">
        <v>43793</v>
      </c>
      <c r="G104" s="2">
        <f ca="1">DATEDIF(EmpTable[[#This Row],[Start Date]],TODAY(),"Y")</f>
        <v>6</v>
      </c>
      <c r="H104" s="2" t="str" cm="1">
        <f t="array" aca="1" ref="H104" ca="1">_xlfn.IFS(G104&lt;=1,"Fresh",G104&lt;=3,"Junior",G104&lt;=7,"Teamlead",G104&gt;=7,"manger")</f>
        <v>Teamlead</v>
      </c>
      <c r="I104" t="s">
        <v>35</v>
      </c>
      <c r="J104" t="s">
        <v>29</v>
      </c>
      <c r="K104" t="s">
        <v>42</v>
      </c>
      <c r="L104">
        <v>1817</v>
      </c>
      <c r="M104">
        <v>21804</v>
      </c>
      <c r="N104">
        <v>5</v>
      </c>
      <c r="O104" t="str" cm="1">
        <f t="array" ref="O104">_xlfn.IFS(EmpTable[[#This Row],[Job Rate]] &lt;=1,"LOW",N104&lt;=2,"LOW",N104&lt;=3,"MEDIUM",N104&gt;4,"HIGH")</f>
        <v>HIGH</v>
      </c>
      <c r="P104">
        <v>1</v>
      </c>
      <c r="Q104">
        <v>0</v>
      </c>
      <c r="R104">
        <v>1</v>
      </c>
    </row>
    <row r="105" spans="1:18" x14ac:dyDescent="0.3">
      <c r="A105">
        <v>104</v>
      </c>
      <c r="B105" t="s">
        <v>86</v>
      </c>
      <c r="C105" t="s">
        <v>203</v>
      </c>
      <c r="D105" t="str">
        <f>_xlfn.CONCAT(EmpTable[[#This Row],[First Name]],EmpTable[[#This Row],[Last Name]])</f>
        <v>RamiAbu Adhan</v>
      </c>
      <c r="E105" t="s">
        <v>32</v>
      </c>
      <c r="F105" s="1">
        <v>43867</v>
      </c>
      <c r="G105" s="2">
        <f ca="1">DATEDIF(EmpTable[[#This Row],[Start Date]],TODAY(),"Y")</f>
        <v>6</v>
      </c>
      <c r="H105" s="2" t="str" cm="1">
        <f t="array" aca="1" ref="H105" ca="1">_xlfn.IFS(G105&lt;=1,"Fresh",G105&lt;=3,"Junior",G105&lt;=7,"Teamlead",G105&gt;=7,"manger")</f>
        <v>Teamlead</v>
      </c>
      <c r="I105" t="s">
        <v>28</v>
      </c>
      <c r="J105" t="s">
        <v>48</v>
      </c>
      <c r="K105" t="s">
        <v>42</v>
      </c>
      <c r="L105">
        <v>2923</v>
      </c>
      <c r="M105">
        <v>35076</v>
      </c>
      <c r="N105">
        <v>2</v>
      </c>
      <c r="O105" t="str" cm="1">
        <f t="array" ref="O105">_xlfn.IFS(EmpTable[[#This Row],[Job Rate]] &lt;=1,"LOW",N105&lt;=2,"LOW",N105&lt;=3,"MEDIUM",N105&gt;4,"HIGH")</f>
        <v>LOW</v>
      </c>
      <c r="P105">
        <v>0</v>
      </c>
      <c r="Q105">
        <v>0</v>
      </c>
      <c r="R105">
        <v>0</v>
      </c>
    </row>
    <row r="106" spans="1:18" x14ac:dyDescent="0.3">
      <c r="A106">
        <v>105</v>
      </c>
      <c r="B106" t="s">
        <v>33</v>
      </c>
      <c r="C106" t="s">
        <v>178</v>
      </c>
      <c r="D106" t="str">
        <f>_xlfn.CONCAT(EmpTable[[#This Row],[First Name]],EmpTable[[#This Row],[Last Name]])</f>
        <v>MuhamadHamzat</v>
      </c>
      <c r="E106" t="s">
        <v>32</v>
      </c>
      <c r="F106" s="1">
        <v>43397</v>
      </c>
      <c r="G106" s="2">
        <f ca="1">DATEDIF(EmpTable[[#This Row],[Start Date]],TODAY(),"Y")</f>
        <v>7</v>
      </c>
      <c r="H106" s="2" t="str" cm="1">
        <f t="array" aca="1" ref="H106" ca="1">_xlfn.IFS(G106&lt;=1,"Fresh",G106&lt;=3,"Junior",G106&lt;=7,"Teamlead",G106&gt;=7,"manger")</f>
        <v>Teamlead</v>
      </c>
      <c r="I106" t="s">
        <v>88</v>
      </c>
      <c r="J106" t="s">
        <v>18</v>
      </c>
      <c r="K106" t="s">
        <v>60</v>
      </c>
      <c r="L106">
        <v>3138</v>
      </c>
      <c r="M106">
        <v>37656</v>
      </c>
      <c r="N106">
        <v>5</v>
      </c>
      <c r="O106" t="str" cm="1">
        <f t="array" ref="O106">_xlfn.IFS(EmpTable[[#This Row],[Job Rate]] &lt;=1,"LOW",N106&lt;=2,"LOW",N106&lt;=3,"MEDIUM",N106&gt;4,"HIGH")</f>
        <v>HIGH</v>
      </c>
      <c r="P106">
        <v>6</v>
      </c>
      <c r="Q106">
        <v>0</v>
      </c>
      <c r="R106">
        <v>10</v>
      </c>
    </row>
    <row r="107" spans="1:18" x14ac:dyDescent="0.3">
      <c r="A107">
        <v>106</v>
      </c>
      <c r="B107" t="s">
        <v>204</v>
      </c>
      <c r="C107" t="s">
        <v>205</v>
      </c>
      <c r="D107" t="str">
        <f>_xlfn.CONCAT(EmpTable[[#This Row],[First Name]],EmpTable[[#This Row],[Last Name]])</f>
        <v>EhabAlkhibaz</v>
      </c>
      <c r="E107" t="s">
        <v>32</v>
      </c>
      <c r="F107" s="1">
        <v>43979</v>
      </c>
      <c r="G107" s="2">
        <f ca="1">DATEDIF(EmpTable[[#This Row],[Start Date]],TODAY(),"Y")</f>
        <v>5</v>
      </c>
      <c r="H107" s="2" t="str" cm="1">
        <f t="array" aca="1" ref="H107" ca="1">_xlfn.IFS(G107&lt;=1,"Fresh",G107&lt;=3,"Junior",G107&lt;=7,"Teamlead",G107&gt;=7,"manger")</f>
        <v>Teamlead</v>
      </c>
      <c r="I107" t="s">
        <v>41</v>
      </c>
      <c r="J107" t="s">
        <v>18</v>
      </c>
      <c r="K107" t="s">
        <v>36</v>
      </c>
      <c r="L107">
        <v>3139</v>
      </c>
      <c r="M107">
        <v>37668</v>
      </c>
      <c r="N107">
        <v>3</v>
      </c>
      <c r="O107" t="str" cm="1">
        <f t="array" ref="O107">_xlfn.IFS(EmpTable[[#This Row],[Job Rate]] &lt;=1,"LOW",N107&lt;=2,"LOW",N107&lt;=3,"MEDIUM",N107&gt;4,"HIGH")</f>
        <v>MEDIUM</v>
      </c>
      <c r="P107">
        <v>0</v>
      </c>
      <c r="Q107">
        <v>0</v>
      </c>
      <c r="R107">
        <v>10</v>
      </c>
    </row>
    <row r="108" spans="1:18" x14ac:dyDescent="0.3">
      <c r="A108">
        <v>107</v>
      </c>
      <c r="B108" t="s">
        <v>146</v>
      </c>
      <c r="C108" t="s">
        <v>155</v>
      </c>
      <c r="D108" t="str">
        <f>_xlfn.CONCAT(EmpTable[[#This Row],[First Name]],EmpTable[[#This Row],[Last Name]])</f>
        <v>IbrahimNabulsi</v>
      </c>
      <c r="E108" t="s">
        <v>32</v>
      </c>
      <c r="F108" s="1">
        <v>42507</v>
      </c>
      <c r="G108" s="2">
        <f ca="1">DATEDIF(EmpTable[[#This Row],[Start Date]],TODAY(),"Y")</f>
        <v>9</v>
      </c>
      <c r="H108" s="2" t="str" cm="1">
        <f t="array" aca="1" ref="H108" ca="1">_xlfn.IFS(G108&lt;=1,"Fresh",G108&lt;=3,"Junior",G108&lt;=7,"Teamlead",G108&gt;=7,"manger")</f>
        <v>manger</v>
      </c>
      <c r="I108" t="s">
        <v>76</v>
      </c>
      <c r="J108" t="s">
        <v>29</v>
      </c>
      <c r="K108" t="s">
        <v>42</v>
      </c>
      <c r="L108">
        <v>3263</v>
      </c>
      <c r="M108">
        <v>39156</v>
      </c>
      <c r="N108">
        <v>3</v>
      </c>
      <c r="O108" t="str" cm="1">
        <f t="array" ref="O108">_xlfn.IFS(EmpTable[[#This Row],[Job Rate]] &lt;=1,"LOW",N108&lt;=2,"LOW",N108&lt;=3,"MEDIUM",N108&gt;4,"HIGH")</f>
        <v>MEDIUM</v>
      </c>
      <c r="P108">
        <v>0</v>
      </c>
      <c r="Q108">
        <v>0</v>
      </c>
      <c r="R108">
        <v>3</v>
      </c>
    </row>
    <row r="109" spans="1:18" x14ac:dyDescent="0.3">
      <c r="A109">
        <v>108</v>
      </c>
      <c r="B109" t="s">
        <v>206</v>
      </c>
      <c r="C109" t="s">
        <v>207</v>
      </c>
      <c r="D109" t="str">
        <f>_xlfn.CONCAT(EmpTable[[#This Row],[First Name]],EmpTable[[#This Row],[Last Name]])</f>
        <v>RanyaSalah Aldiyn</v>
      </c>
      <c r="E109" t="s">
        <v>307</v>
      </c>
      <c r="F109" s="1">
        <v>43487</v>
      </c>
      <c r="G109" s="2">
        <f ca="1">DATEDIF(EmpTable[[#This Row],[Start Date]],TODAY(),"Y")</f>
        <v>7</v>
      </c>
      <c r="H109" s="2" t="str" cm="1">
        <f t="array" aca="1" ref="H109" ca="1">_xlfn.IFS(G109&lt;=1,"Fresh",G109&lt;=3,"Junior",G109&lt;=7,"Teamlead",G109&gt;=7,"manger")</f>
        <v>Teamlead</v>
      </c>
      <c r="I109" t="s">
        <v>17</v>
      </c>
      <c r="J109" t="s">
        <v>29</v>
      </c>
      <c r="K109" t="s">
        <v>42</v>
      </c>
      <c r="L109">
        <v>1258</v>
      </c>
      <c r="M109">
        <v>15096</v>
      </c>
      <c r="N109">
        <v>5</v>
      </c>
      <c r="O109" t="str" cm="1">
        <f t="array" ref="O109">_xlfn.IFS(EmpTable[[#This Row],[Job Rate]] &lt;=1,"LOW",N109&lt;=2,"LOW",N109&lt;=3,"MEDIUM",N109&gt;4,"HIGH")</f>
        <v>HIGH</v>
      </c>
      <c r="P109">
        <v>0</v>
      </c>
      <c r="Q109">
        <v>0</v>
      </c>
      <c r="R109">
        <v>5</v>
      </c>
    </row>
    <row r="110" spans="1:18" x14ac:dyDescent="0.3">
      <c r="A110">
        <v>109</v>
      </c>
      <c r="B110" t="s">
        <v>208</v>
      </c>
      <c r="C110" t="s">
        <v>209</v>
      </c>
      <c r="D110" t="str">
        <f>_xlfn.CONCAT(EmpTable[[#This Row],[First Name]],EmpTable[[#This Row],[Last Name]])</f>
        <v>JuriZaytun</v>
      </c>
      <c r="E110" t="s">
        <v>307</v>
      </c>
      <c r="F110" s="1">
        <v>44085</v>
      </c>
      <c r="G110" s="2">
        <f ca="1">DATEDIF(EmpTable[[#This Row],[Start Date]],TODAY(),"Y")</f>
        <v>5</v>
      </c>
      <c r="H110" s="2" t="str" cm="1">
        <f t="array" aca="1" ref="H110" ca="1">_xlfn.IFS(G110&lt;=1,"Fresh",G110&lt;=3,"Junior",G110&lt;=7,"Teamlead",G110&gt;=7,"manger")</f>
        <v>Teamlead</v>
      </c>
      <c r="I110" t="s">
        <v>58</v>
      </c>
      <c r="J110" t="s">
        <v>18</v>
      </c>
      <c r="K110" t="s">
        <v>36</v>
      </c>
      <c r="L110">
        <v>2527</v>
      </c>
      <c r="M110">
        <v>30324</v>
      </c>
      <c r="N110">
        <v>3</v>
      </c>
      <c r="O110" t="str" cm="1">
        <f t="array" ref="O110">_xlfn.IFS(EmpTable[[#This Row],[Job Rate]] &lt;=1,"LOW",N110&lt;=2,"LOW",N110&lt;=3,"MEDIUM",N110&gt;4,"HIGH")</f>
        <v>MEDIUM</v>
      </c>
      <c r="P110">
        <v>3</v>
      </c>
      <c r="Q110">
        <v>0</v>
      </c>
      <c r="R110">
        <v>16</v>
      </c>
    </row>
    <row r="111" spans="1:18" x14ac:dyDescent="0.3">
      <c r="A111">
        <v>110</v>
      </c>
      <c r="B111" t="s">
        <v>210</v>
      </c>
      <c r="C111" t="s">
        <v>211</v>
      </c>
      <c r="D111" t="str">
        <f>_xlfn.CONCAT(EmpTable[[#This Row],[First Name]],EmpTable[[#This Row],[Last Name]])</f>
        <v>SaharAlmuhamad</v>
      </c>
      <c r="E111" t="s">
        <v>307</v>
      </c>
      <c r="F111" s="1">
        <v>43362</v>
      </c>
      <c r="G111" s="2">
        <f ca="1">DATEDIF(EmpTable[[#This Row],[Start Date]],TODAY(),"Y")</f>
        <v>7</v>
      </c>
      <c r="H111" s="2" t="str" cm="1">
        <f t="array" aca="1" ref="H111" ca="1">_xlfn.IFS(G111&lt;=1,"Fresh",G111&lt;=3,"Junior",G111&lt;=7,"Teamlead",G111&gt;=7,"manger")</f>
        <v>Teamlead</v>
      </c>
      <c r="I111" t="s">
        <v>58</v>
      </c>
      <c r="J111" t="s">
        <v>18</v>
      </c>
      <c r="K111" t="s">
        <v>42</v>
      </c>
      <c r="L111">
        <v>3017</v>
      </c>
      <c r="M111">
        <v>36204</v>
      </c>
      <c r="N111">
        <v>4.5</v>
      </c>
      <c r="O111" t="str" cm="1">
        <f t="array" ref="O111">_xlfn.IFS(EmpTable[[#This Row],[Job Rate]] &lt;=1,"LOW",N111&lt;=2,"LOW",N111&lt;=3,"MEDIUM",N111&gt;4,"HIGH")</f>
        <v>HIGH</v>
      </c>
      <c r="P111">
        <v>0</v>
      </c>
      <c r="Q111">
        <v>4</v>
      </c>
      <c r="R111">
        <v>4</v>
      </c>
    </row>
    <row r="112" spans="1:18" x14ac:dyDescent="0.3">
      <c r="A112">
        <v>111</v>
      </c>
      <c r="B112" t="s">
        <v>212</v>
      </c>
      <c r="C112" t="s">
        <v>213</v>
      </c>
      <c r="D112" t="str">
        <f>_xlfn.CONCAT(EmpTable[[#This Row],[First Name]],EmpTable[[#This Row],[Last Name]])</f>
        <v>MariAyly</v>
      </c>
      <c r="E112" t="s">
        <v>307</v>
      </c>
      <c r="F112" s="1">
        <v>42480</v>
      </c>
      <c r="G112" s="2">
        <f ca="1">DATEDIF(EmpTable[[#This Row],[Start Date]],TODAY(),"Y")</f>
        <v>9</v>
      </c>
      <c r="H112" s="2" t="str" cm="1">
        <f t="array" aca="1" ref="H112" ca="1">_xlfn.IFS(G112&lt;=1,"Fresh",G112&lt;=3,"Junior",G112&lt;=7,"Teamlead",G112&gt;=7,"manger")</f>
        <v>manger</v>
      </c>
      <c r="I112" t="s">
        <v>41</v>
      </c>
      <c r="J112" t="s">
        <v>22</v>
      </c>
      <c r="K112" t="s">
        <v>36</v>
      </c>
      <c r="L112">
        <v>1639</v>
      </c>
      <c r="M112">
        <v>19668</v>
      </c>
      <c r="N112">
        <v>5</v>
      </c>
      <c r="O112" t="str" cm="1">
        <f t="array" ref="O112">_xlfn.IFS(EmpTable[[#This Row],[Job Rate]] &lt;=1,"LOW",N112&lt;=2,"LOW",N112&lt;=3,"MEDIUM",N112&gt;4,"HIGH")</f>
        <v>HIGH</v>
      </c>
      <c r="P112">
        <v>0</v>
      </c>
      <c r="Q112">
        <v>0</v>
      </c>
      <c r="R112">
        <v>2</v>
      </c>
    </row>
    <row r="113" spans="1:18" x14ac:dyDescent="0.3">
      <c r="A113">
        <v>112</v>
      </c>
      <c r="B113" t="s">
        <v>186</v>
      </c>
      <c r="C113" t="s">
        <v>214</v>
      </c>
      <c r="D113" t="str">
        <f>_xlfn.CONCAT(EmpTable[[#This Row],[First Name]],EmpTable[[#This Row],[Last Name]])</f>
        <v>AliAlhuri</v>
      </c>
      <c r="E113" t="s">
        <v>32</v>
      </c>
      <c r="F113" s="1">
        <v>43742</v>
      </c>
      <c r="G113" s="2">
        <f ca="1">DATEDIF(EmpTable[[#This Row],[Start Date]],TODAY(),"Y")</f>
        <v>6</v>
      </c>
      <c r="H113" s="2" t="str" cm="1">
        <f t="array" aca="1" ref="H113" ca="1">_xlfn.IFS(G113&lt;=1,"Fresh",G113&lt;=3,"Junior",G113&lt;=7,"Teamlead",G113&gt;=7,"manger")</f>
        <v>Teamlead</v>
      </c>
      <c r="I113" t="s">
        <v>50</v>
      </c>
      <c r="J113" t="s">
        <v>18</v>
      </c>
      <c r="K113" t="s">
        <v>42</v>
      </c>
      <c r="L113">
        <v>1867</v>
      </c>
      <c r="M113">
        <v>22404</v>
      </c>
      <c r="N113">
        <v>3</v>
      </c>
      <c r="O113" t="str" cm="1">
        <f t="array" ref="O113">_xlfn.IFS(EmpTable[[#This Row],[Job Rate]] &lt;=1,"LOW",N113&lt;=2,"LOW",N113&lt;=3,"MEDIUM",N113&gt;4,"HIGH")</f>
        <v>MEDIUM</v>
      </c>
      <c r="P113">
        <v>1</v>
      </c>
      <c r="Q113">
        <v>0</v>
      </c>
      <c r="R113">
        <v>3</v>
      </c>
    </row>
    <row r="114" spans="1:18" x14ac:dyDescent="0.3">
      <c r="A114">
        <v>113</v>
      </c>
      <c r="B114" t="s">
        <v>215</v>
      </c>
      <c r="C114" t="s">
        <v>216</v>
      </c>
      <c r="D114" t="str">
        <f>_xlfn.CONCAT(EmpTable[[#This Row],[First Name]],EmpTable[[#This Row],[Last Name]])</f>
        <v>DaniaAlmala</v>
      </c>
      <c r="E114" t="s">
        <v>307</v>
      </c>
      <c r="F114" s="1">
        <v>42659</v>
      </c>
      <c r="G114" s="2">
        <f ca="1">DATEDIF(EmpTable[[#This Row],[Start Date]],TODAY(),"Y")</f>
        <v>9</v>
      </c>
      <c r="H114" s="2" t="str" cm="1">
        <f t="array" aca="1" ref="H114" ca="1">_xlfn.IFS(G114&lt;=1,"Fresh",G114&lt;=3,"Junior",G114&lt;=7,"Teamlead",G114&gt;=7,"manger")</f>
        <v>manger</v>
      </c>
      <c r="I114" t="s">
        <v>77</v>
      </c>
      <c r="J114" t="s">
        <v>29</v>
      </c>
      <c r="K114" t="s">
        <v>42</v>
      </c>
      <c r="L114">
        <v>2314</v>
      </c>
      <c r="M114">
        <v>27768</v>
      </c>
      <c r="N114">
        <v>2</v>
      </c>
      <c r="O114" t="str" cm="1">
        <f t="array" ref="O114">_xlfn.IFS(EmpTable[[#This Row],[Job Rate]] &lt;=1,"LOW",N114&lt;=2,"LOW",N114&lt;=3,"MEDIUM",N114&gt;4,"HIGH")</f>
        <v>LOW</v>
      </c>
      <c r="P114">
        <v>0</v>
      </c>
      <c r="Q114">
        <v>3</v>
      </c>
      <c r="R114">
        <v>5</v>
      </c>
    </row>
    <row r="115" spans="1:18" x14ac:dyDescent="0.3">
      <c r="A115">
        <v>114</v>
      </c>
      <c r="B115" t="s">
        <v>217</v>
      </c>
      <c r="C115" t="s">
        <v>218</v>
      </c>
      <c r="D115" t="str">
        <f>_xlfn.CONCAT(EmpTable[[#This Row],[First Name]],EmpTable[[#This Row],[Last Name]])</f>
        <v>RymAlsydawi</v>
      </c>
      <c r="E115" t="s">
        <v>307</v>
      </c>
      <c r="F115" s="1">
        <v>42770</v>
      </c>
      <c r="G115" s="2">
        <f ca="1">DATEDIF(EmpTable[[#This Row],[Start Date]],TODAY(),"Y")</f>
        <v>9</v>
      </c>
      <c r="H115" s="2" t="str" cm="1">
        <f t="array" aca="1" ref="H115" ca="1">_xlfn.IFS(G115&lt;=1,"Fresh",G115&lt;=3,"Junior",G115&lt;=7,"Teamlead",G115&gt;=7,"manger")</f>
        <v>manger</v>
      </c>
      <c r="I115" t="s">
        <v>17</v>
      </c>
      <c r="J115" t="s">
        <v>22</v>
      </c>
      <c r="K115" t="s">
        <v>42</v>
      </c>
      <c r="L115">
        <v>2679</v>
      </c>
      <c r="M115">
        <v>32148</v>
      </c>
      <c r="N115">
        <v>5</v>
      </c>
      <c r="O115" t="str" cm="1">
        <f t="array" ref="O115">_xlfn.IFS(EmpTable[[#This Row],[Job Rate]] &lt;=1,"LOW",N115&lt;=2,"LOW",N115&lt;=3,"MEDIUM",N115&gt;4,"HIGH")</f>
        <v>HIGH</v>
      </c>
      <c r="P115">
        <v>6</v>
      </c>
      <c r="Q115">
        <v>0</v>
      </c>
      <c r="R115">
        <v>1</v>
      </c>
    </row>
    <row r="116" spans="1:18" x14ac:dyDescent="0.3">
      <c r="A116">
        <v>115</v>
      </c>
      <c r="B116" t="s">
        <v>219</v>
      </c>
      <c r="C116" t="s">
        <v>220</v>
      </c>
      <c r="D116" t="str">
        <f>_xlfn.CONCAT(EmpTable[[#This Row],[First Name]],EmpTable[[#This Row],[Last Name]])</f>
        <v>MahirAlshear</v>
      </c>
      <c r="E116" t="s">
        <v>32</v>
      </c>
      <c r="F116" s="1">
        <v>43618</v>
      </c>
      <c r="G116" s="2">
        <f ca="1">DATEDIF(EmpTable[[#This Row],[Start Date]],TODAY(),"Y")</f>
        <v>6</v>
      </c>
      <c r="H116" s="2" t="str" cm="1">
        <f t="array" aca="1" ref="H116" ca="1">_xlfn.IFS(G116&lt;=1,"Fresh",G116&lt;=3,"Junior",G116&lt;=7,"Teamlead",G116&gt;=7,"manger")</f>
        <v>Teamlead</v>
      </c>
      <c r="I116" t="s">
        <v>17</v>
      </c>
      <c r="J116" t="s">
        <v>18</v>
      </c>
      <c r="K116" t="s">
        <v>36</v>
      </c>
      <c r="L116">
        <v>3166</v>
      </c>
      <c r="M116">
        <v>37992</v>
      </c>
      <c r="N116">
        <v>4.5</v>
      </c>
      <c r="O116" t="str" cm="1">
        <f t="array" ref="O116">_xlfn.IFS(EmpTable[[#This Row],[Job Rate]] &lt;=1,"LOW",N116&lt;=2,"LOW",N116&lt;=3,"MEDIUM",N116&gt;4,"HIGH")</f>
        <v>HIGH</v>
      </c>
      <c r="P116">
        <v>5</v>
      </c>
      <c r="Q116">
        <v>0</v>
      </c>
      <c r="R116">
        <v>4</v>
      </c>
    </row>
    <row r="117" spans="1:18" x14ac:dyDescent="0.3">
      <c r="A117">
        <v>116</v>
      </c>
      <c r="B117" t="s">
        <v>146</v>
      </c>
      <c r="C117" t="s">
        <v>221</v>
      </c>
      <c r="D117" t="str">
        <f>_xlfn.CONCAT(EmpTable[[#This Row],[First Name]],EmpTable[[#This Row],[Last Name]])</f>
        <v>IbrahimAlhamid</v>
      </c>
      <c r="E117" t="s">
        <v>32</v>
      </c>
      <c r="F117" s="1">
        <v>43527</v>
      </c>
      <c r="G117" s="2">
        <f ca="1">DATEDIF(EmpTable[[#This Row],[Start Date]],TODAY(),"Y")</f>
        <v>7</v>
      </c>
      <c r="H117" s="2" t="str" cm="1">
        <f t="array" aca="1" ref="H117" ca="1">_xlfn.IFS(G117&lt;=1,"Fresh",G117&lt;=3,"Junior",G117&lt;=7,"Teamlead",G117&gt;=7,"manger")</f>
        <v>Teamlead</v>
      </c>
      <c r="I117" t="s">
        <v>28</v>
      </c>
      <c r="J117" t="s">
        <v>29</v>
      </c>
      <c r="K117" t="s">
        <v>42</v>
      </c>
      <c r="L117">
        <v>2429</v>
      </c>
      <c r="M117">
        <v>29148</v>
      </c>
      <c r="N117">
        <v>5</v>
      </c>
      <c r="O117" t="str" cm="1">
        <f t="array" ref="O117">_xlfn.IFS(EmpTable[[#This Row],[Job Rate]] &lt;=1,"LOW",N117&lt;=2,"LOW",N117&lt;=3,"MEDIUM",N117&gt;4,"HIGH")</f>
        <v>HIGH</v>
      </c>
      <c r="P117">
        <v>0</v>
      </c>
      <c r="Q117">
        <v>0</v>
      </c>
      <c r="R117">
        <v>7</v>
      </c>
    </row>
    <row r="118" spans="1:18" x14ac:dyDescent="0.3">
      <c r="A118">
        <v>117</v>
      </c>
      <c r="B118" t="s">
        <v>33</v>
      </c>
      <c r="C118" t="s">
        <v>222</v>
      </c>
      <c r="D118" t="str">
        <f>_xlfn.CONCAT(EmpTable[[#This Row],[First Name]],EmpTable[[#This Row],[Last Name]])</f>
        <v>MuhamadAlkhayr</v>
      </c>
      <c r="E118" t="s">
        <v>32</v>
      </c>
      <c r="F118" s="1">
        <v>43744</v>
      </c>
      <c r="G118" s="2">
        <f ca="1">DATEDIF(EmpTable[[#This Row],[Start Date]],TODAY(),"Y")</f>
        <v>6</v>
      </c>
      <c r="H118" s="2" t="str" cm="1">
        <f t="array" aca="1" ref="H118" ca="1">_xlfn.IFS(G118&lt;=1,"Fresh",G118&lt;=3,"Junior",G118&lt;=7,"Teamlead",G118&gt;=7,"manger")</f>
        <v>Teamlead</v>
      </c>
      <c r="I118" t="s">
        <v>28</v>
      </c>
      <c r="J118" t="s">
        <v>29</v>
      </c>
      <c r="K118" t="s">
        <v>42</v>
      </c>
      <c r="L118">
        <v>1865</v>
      </c>
      <c r="M118">
        <v>22380</v>
      </c>
      <c r="N118">
        <v>4.5</v>
      </c>
      <c r="O118" t="str" cm="1">
        <f t="array" ref="O118">_xlfn.IFS(EmpTable[[#This Row],[Job Rate]] &lt;=1,"LOW",N118&lt;=2,"LOW",N118&lt;=3,"MEDIUM",N118&gt;4,"HIGH")</f>
        <v>HIGH</v>
      </c>
      <c r="P118">
        <v>0</v>
      </c>
      <c r="Q118">
        <v>0</v>
      </c>
      <c r="R118">
        <v>4</v>
      </c>
    </row>
    <row r="119" spans="1:18" x14ac:dyDescent="0.3">
      <c r="A119">
        <v>118</v>
      </c>
      <c r="B119" t="s">
        <v>33</v>
      </c>
      <c r="C119" t="s">
        <v>223</v>
      </c>
      <c r="D119" t="str">
        <f>_xlfn.CONCAT(EmpTable[[#This Row],[First Name]],EmpTable[[#This Row],[Last Name]])</f>
        <v>MuhamadBashshar</v>
      </c>
      <c r="E119" t="s">
        <v>32</v>
      </c>
      <c r="F119" s="1">
        <v>43146</v>
      </c>
      <c r="G119" s="2">
        <f ca="1">DATEDIF(EmpTable[[#This Row],[Start Date]],TODAY(),"Y")</f>
        <v>8</v>
      </c>
      <c r="H119" s="2" t="str" cm="1">
        <f t="array" aca="1" ref="H119" ca="1">_xlfn.IFS(G119&lt;=1,"Fresh",G119&lt;=3,"Junior",G119&lt;=7,"Teamlead",G119&gt;=7,"manger")</f>
        <v>manger</v>
      </c>
      <c r="I119" t="s">
        <v>41</v>
      </c>
      <c r="J119" t="s">
        <v>29</v>
      </c>
      <c r="K119" t="s">
        <v>60</v>
      </c>
      <c r="L119">
        <v>868</v>
      </c>
      <c r="M119">
        <v>10416</v>
      </c>
      <c r="N119">
        <v>4.5</v>
      </c>
      <c r="O119" t="str" cm="1">
        <f t="array" ref="O119">_xlfn.IFS(EmpTable[[#This Row],[Job Rate]] &lt;=1,"LOW",N119&lt;=2,"LOW",N119&lt;=3,"MEDIUM",N119&gt;4,"HIGH")</f>
        <v>HIGH</v>
      </c>
      <c r="P119">
        <v>2</v>
      </c>
      <c r="Q119">
        <v>0</v>
      </c>
      <c r="R119">
        <v>2</v>
      </c>
    </row>
    <row r="120" spans="1:18" x14ac:dyDescent="0.3">
      <c r="A120">
        <v>119</v>
      </c>
      <c r="B120" t="s">
        <v>33</v>
      </c>
      <c r="C120" t="s">
        <v>224</v>
      </c>
      <c r="D120" t="str">
        <f>_xlfn.CONCAT(EmpTable[[#This Row],[First Name]],EmpTable[[#This Row],[Last Name]])</f>
        <v>MuhamadJhad</v>
      </c>
      <c r="E120" t="s">
        <v>32</v>
      </c>
      <c r="F120" s="1">
        <v>43558</v>
      </c>
      <c r="G120" s="2">
        <f ca="1">DATEDIF(EmpTable[[#This Row],[Start Date]],TODAY(),"Y")</f>
        <v>6</v>
      </c>
      <c r="H120" s="2" t="str" cm="1">
        <f t="array" aca="1" ref="H120" ca="1">_xlfn.IFS(G120&lt;=1,"Fresh",G120&lt;=3,"Junior",G120&lt;=7,"Teamlead",G120&gt;=7,"manger")</f>
        <v>Teamlead</v>
      </c>
      <c r="I120" t="s">
        <v>28</v>
      </c>
      <c r="J120" t="s">
        <v>18</v>
      </c>
      <c r="K120" t="s">
        <v>19</v>
      </c>
      <c r="L120">
        <v>3411</v>
      </c>
      <c r="M120">
        <v>40932</v>
      </c>
      <c r="N120">
        <v>5</v>
      </c>
      <c r="O120" t="str" cm="1">
        <f t="array" ref="O120">_xlfn.IFS(EmpTable[[#This Row],[Job Rate]] &lt;=1,"LOW",N120&lt;=2,"LOW",N120&lt;=3,"MEDIUM",N120&gt;4,"HIGH")</f>
        <v>HIGH</v>
      </c>
      <c r="P120">
        <v>4</v>
      </c>
      <c r="Q120">
        <v>0</v>
      </c>
      <c r="R120">
        <v>2</v>
      </c>
    </row>
    <row r="121" spans="1:18" x14ac:dyDescent="0.3">
      <c r="A121">
        <v>120</v>
      </c>
      <c r="B121" t="s">
        <v>225</v>
      </c>
      <c r="C121" t="s">
        <v>226</v>
      </c>
      <c r="D121" t="str">
        <f>_xlfn.CONCAT(EmpTable[[#This Row],[First Name]],EmpTable[[#This Row],[Last Name]])</f>
        <v>LimaysGhrz</v>
      </c>
      <c r="E121" t="s">
        <v>307</v>
      </c>
      <c r="F121" s="1">
        <v>42687</v>
      </c>
      <c r="G121" s="2">
        <f ca="1">DATEDIF(EmpTable[[#This Row],[Start Date]],TODAY(),"Y")</f>
        <v>9</v>
      </c>
      <c r="H121" s="2" t="str" cm="1">
        <f t="array" aca="1" ref="H121" ca="1">_xlfn.IFS(G121&lt;=1,"Fresh",G121&lt;=3,"Junior",G121&lt;=7,"Teamlead",G121&gt;=7,"manger")</f>
        <v>manger</v>
      </c>
      <c r="I121" t="s">
        <v>58</v>
      </c>
      <c r="J121" t="s">
        <v>48</v>
      </c>
      <c r="K121" t="s">
        <v>36</v>
      </c>
      <c r="L121">
        <v>3324</v>
      </c>
      <c r="M121">
        <v>39888</v>
      </c>
      <c r="N121">
        <v>3</v>
      </c>
      <c r="O121" t="str" cm="1">
        <f t="array" ref="O121">_xlfn.IFS(EmpTable[[#This Row],[Job Rate]] &lt;=1,"LOW",N121&lt;=2,"LOW",N121&lt;=3,"MEDIUM",N121&gt;4,"HIGH")</f>
        <v>MEDIUM</v>
      </c>
      <c r="P121">
        <v>5</v>
      </c>
      <c r="Q121">
        <v>0</v>
      </c>
      <c r="R121">
        <v>7</v>
      </c>
    </row>
    <row r="122" spans="1:18" x14ac:dyDescent="0.3">
      <c r="A122">
        <v>121</v>
      </c>
      <c r="B122" t="s">
        <v>227</v>
      </c>
      <c r="C122" t="s">
        <v>228</v>
      </c>
      <c r="D122" t="str">
        <f>_xlfn.CONCAT(EmpTable[[#This Row],[First Name]],EmpTable[[#This Row],[Last Name]])</f>
        <v>ZaydunJabir</v>
      </c>
      <c r="E122" t="s">
        <v>32</v>
      </c>
      <c r="F122" s="1">
        <v>43762</v>
      </c>
      <c r="G122" s="2">
        <f ca="1">DATEDIF(EmpTable[[#This Row],[Start Date]],TODAY(),"Y")</f>
        <v>6</v>
      </c>
      <c r="H122" s="2" t="str" cm="1">
        <f t="array" aca="1" ref="H122" ca="1">_xlfn.IFS(G122&lt;=1,"Fresh",G122&lt;=3,"Junior",G122&lt;=7,"Teamlead",G122&gt;=7,"manger")</f>
        <v>Teamlead</v>
      </c>
      <c r="I122" t="s">
        <v>28</v>
      </c>
      <c r="J122" t="s">
        <v>29</v>
      </c>
      <c r="K122" t="s">
        <v>42</v>
      </c>
      <c r="L122">
        <v>2715</v>
      </c>
      <c r="M122">
        <v>32580</v>
      </c>
      <c r="N122">
        <v>1</v>
      </c>
      <c r="O122" t="str" cm="1">
        <f t="array" ref="O122">_xlfn.IFS(EmpTable[[#This Row],[Job Rate]] &lt;=1,"LOW",N122&lt;=2,"LOW",N122&lt;=3,"MEDIUM",N122&gt;4,"HIGH")</f>
        <v>LOW</v>
      </c>
      <c r="P122">
        <v>0</v>
      </c>
      <c r="Q122">
        <v>3</v>
      </c>
      <c r="R122">
        <v>3</v>
      </c>
    </row>
    <row r="123" spans="1:18" x14ac:dyDescent="0.3">
      <c r="A123">
        <v>122</v>
      </c>
      <c r="B123" t="s">
        <v>229</v>
      </c>
      <c r="C123" t="s">
        <v>230</v>
      </c>
      <c r="D123" t="str">
        <f>_xlfn.CONCAT(EmpTable[[#This Row],[First Name]],EmpTable[[#This Row],[Last Name]])</f>
        <v>FatimaZaetar</v>
      </c>
      <c r="E123" t="s">
        <v>307</v>
      </c>
      <c r="F123" s="1">
        <v>43674</v>
      </c>
      <c r="G123" s="2">
        <f ca="1">DATEDIF(EmpTable[[#This Row],[Start Date]],TODAY(),"Y")</f>
        <v>6</v>
      </c>
      <c r="H123" s="2" t="str" cm="1">
        <f t="array" aca="1" ref="H123" ca="1">_xlfn.IFS(G123&lt;=1,"Fresh",G123&lt;=3,"Junior",G123&lt;=7,"Teamlead",G123&gt;=7,"manger")</f>
        <v>Teamlead</v>
      </c>
      <c r="I123" t="s">
        <v>77</v>
      </c>
      <c r="J123" t="s">
        <v>29</v>
      </c>
      <c r="K123" t="s">
        <v>19</v>
      </c>
      <c r="L123">
        <v>2664</v>
      </c>
      <c r="M123">
        <v>31968</v>
      </c>
      <c r="N123">
        <v>4.5</v>
      </c>
      <c r="O123" t="str" cm="1">
        <f t="array" ref="O123">_xlfn.IFS(EmpTable[[#This Row],[Job Rate]] &lt;=1,"LOW",N123&lt;=2,"LOW",N123&lt;=3,"MEDIUM",N123&gt;4,"HIGH")</f>
        <v>HIGH</v>
      </c>
      <c r="P123">
        <v>1</v>
      </c>
      <c r="Q123">
        <v>0</v>
      </c>
      <c r="R123">
        <v>9</v>
      </c>
    </row>
    <row r="124" spans="1:18" x14ac:dyDescent="0.3">
      <c r="A124">
        <v>123</v>
      </c>
      <c r="B124" t="s">
        <v>195</v>
      </c>
      <c r="C124" t="s">
        <v>231</v>
      </c>
      <c r="D124" t="str">
        <f>_xlfn.CONCAT(EmpTable[[#This Row],[First Name]],EmpTable[[#This Row],[Last Name]])</f>
        <v>TariqShakir</v>
      </c>
      <c r="E124" t="s">
        <v>32</v>
      </c>
      <c r="F124" s="1">
        <v>44134</v>
      </c>
      <c r="G124" s="2">
        <f ca="1">DATEDIF(EmpTable[[#This Row],[Start Date]],TODAY(),"Y")</f>
        <v>5</v>
      </c>
      <c r="H124" s="2" t="str" cm="1">
        <f t="array" aca="1" ref="H124" ca="1">_xlfn.IFS(G124&lt;=1,"Fresh",G124&lt;=3,"Junior",G124&lt;=7,"Teamlead",G124&gt;=7,"manger")</f>
        <v>Teamlead</v>
      </c>
      <c r="I124" t="s">
        <v>17</v>
      </c>
      <c r="J124" t="s">
        <v>22</v>
      </c>
      <c r="K124" t="s">
        <v>42</v>
      </c>
      <c r="L124">
        <v>1801</v>
      </c>
      <c r="M124">
        <v>21612</v>
      </c>
      <c r="N124">
        <v>5</v>
      </c>
      <c r="O124" t="str" cm="1">
        <f t="array" ref="O124">_xlfn.IFS(EmpTable[[#This Row],[Job Rate]] &lt;=1,"LOW",N124&lt;=2,"LOW",N124&lt;=3,"MEDIUM",N124&gt;4,"HIGH")</f>
        <v>HIGH</v>
      </c>
      <c r="P124">
        <v>0</v>
      </c>
      <c r="Q124">
        <v>0</v>
      </c>
      <c r="R124">
        <v>82</v>
      </c>
    </row>
    <row r="125" spans="1:18" x14ac:dyDescent="0.3">
      <c r="A125">
        <v>124</v>
      </c>
      <c r="B125" t="s">
        <v>232</v>
      </c>
      <c r="C125" t="s">
        <v>233</v>
      </c>
      <c r="D125" t="str">
        <f>_xlfn.CONCAT(EmpTable[[#This Row],[First Name]],EmpTable[[#This Row],[Last Name]])</f>
        <v>RuydaAlhamadii</v>
      </c>
      <c r="E125" t="s">
        <v>307</v>
      </c>
      <c r="F125" s="1">
        <v>43125</v>
      </c>
      <c r="G125" s="2">
        <f ca="1">DATEDIF(EmpTable[[#This Row],[Start Date]],TODAY(),"Y")</f>
        <v>8</v>
      </c>
      <c r="H125" s="2" t="str" cm="1">
        <f t="array" aca="1" ref="H125" ca="1">_xlfn.IFS(G125&lt;=1,"Fresh",G125&lt;=3,"Junior",G125&lt;=7,"Teamlead",G125&gt;=7,"manger")</f>
        <v>manger</v>
      </c>
      <c r="I125" t="s">
        <v>28</v>
      </c>
      <c r="J125" t="s">
        <v>29</v>
      </c>
      <c r="K125" t="s">
        <v>42</v>
      </c>
      <c r="L125">
        <v>1452</v>
      </c>
      <c r="M125">
        <v>17424</v>
      </c>
      <c r="N125">
        <v>3</v>
      </c>
      <c r="O125" t="str" cm="1">
        <f t="array" ref="O125">_xlfn.IFS(EmpTable[[#This Row],[Job Rate]] &lt;=1,"LOW",N125&lt;=2,"LOW",N125&lt;=3,"MEDIUM",N125&gt;4,"HIGH")</f>
        <v>MEDIUM</v>
      </c>
      <c r="P125">
        <v>0</v>
      </c>
      <c r="Q125">
        <v>0</v>
      </c>
      <c r="R125">
        <v>0</v>
      </c>
    </row>
    <row r="126" spans="1:18" x14ac:dyDescent="0.3">
      <c r="A126">
        <v>125</v>
      </c>
      <c r="B126" t="s">
        <v>234</v>
      </c>
      <c r="C126" t="s">
        <v>235</v>
      </c>
      <c r="D126" t="str">
        <f>_xlfn.CONCAT(EmpTable[[#This Row],[First Name]],EmpTable[[#This Row],[Last Name]])</f>
        <v>AnwarAlmaseud</v>
      </c>
      <c r="E126" t="s">
        <v>32</v>
      </c>
      <c r="F126" s="1">
        <v>42914</v>
      </c>
      <c r="G126" s="2">
        <f ca="1">DATEDIF(EmpTable[[#This Row],[Start Date]],TODAY(),"Y")</f>
        <v>8</v>
      </c>
      <c r="H126" s="2" t="str" cm="1">
        <f t="array" aca="1" ref="H126" ca="1">_xlfn.IFS(G126&lt;=1,"Fresh",G126&lt;=3,"Junior",G126&lt;=7,"Teamlead",G126&gt;=7,"manger")</f>
        <v>manger</v>
      </c>
      <c r="I126" t="s">
        <v>17</v>
      </c>
      <c r="J126" t="s">
        <v>29</v>
      </c>
      <c r="K126" t="s">
        <v>36</v>
      </c>
      <c r="L126">
        <v>2358</v>
      </c>
      <c r="M126">
        <v>28296</v>
      </c>
      <c r="N126">
        <v>3</v>
      </c>
      <c r="O126" t="str" cm="1">
        <f t="array" ref="O126">_xlfn.IFS(EmpTable[[#This Row],[Job Rate]] &lt;=1,"LOW",N126&lt;=2,"LOW",N126&lt;=3,"MEDIUM",N126&gt;4,"HIGH")</f>
        <v>MEDIUM</v>
      </c>
      <c r="P126">
        <v>0</v>
      </c>
      <c r="Q126">
        <v>0</v>
      </c>
      <c r="R126">
        <v>14</v>
      </c>
    </row>
    <row r="127" spans="1:18" x14ac:dyDescent="0.3">
      <c r="A127">
        <v>126</v>
      </c>
      <c r="B127" t="s">
        <v>236</v>
      </c>
      <c r="C127" t="s">
        <v>237</v>
      </c>
      <c r="D127" t="str">
        <f>_xlfn.CONCAT(EmpTable[[#This Row],[First Name]],EmpTable[[#This Row],[Last Name]])</f>
        <v>FayaruzSabih</v>
      </c>
      <c r="E127" t="s">
        <v>307</v>
      </c>
      <c r="F127" s="1">
        <v>43688</v>
      </c>
      <c r="G127" s="2">
        <f ca="1">DATEDIF(EmpTable[[#This Row],[Start Date]],TODAY(),"Y")</f>
        <v>6</v>
      </c>
      <c r="H127" s="2" t="str" cm="1">
        <f t="array" aca="1" ref="H127" ca="1">_xlfn.IFS(G127&lt;=1,"Fresh",G127&lt;=3,"Junior",G127&lt;=7,"Teamlead",G127&gt;=7,"manger")</f>
        <v>Teamlead</v>
      </c>
      <c r="I127" t="s">
        <v>28</v>
      </c>
      <c r="J127" t="s">
        <v>18</v>
      </c>
      <c r="K127" t="s">
        <v>36</v>
      </c>
      <c r="L127">
        <v>784</v>
      </c>
      <c r="M127">
        <v>9408</v>
      </c>
      <c r="N127">
        <v>3</v>
      </c>
      <c r="O127" t="str" cm="1">
        <f t="array" ref="O127">_xlfn.IFS(EmpTable[[#This Row],[Job Rate]] &lt;=1,"LOW",N127&lt;=2,"LOW",N127&lt;=3,"MEDIUM",N127&gt;4,"HIGH")</f>
        <v>MEDIUM</v>
      </c>
      <c r="P127">
        <v>2</v>
      </c>
      <c r="Q127">
        <v>3</v>
      </c>
      <c r="R127">
        <v>9</v>
      </c>
    </row>
    <row r="128" spans="1:18" x14ac:dyDescent="0.3">
      <c r="A128">
        <v>127</v>
      </c>
      <c r="B128" t="s">
        <v>238</v>
      </c>
      <c r="C128" t="s">
        <v>239</v>
      </c>
      <c r="D128" t="str">
        <f>_xlfn.CONCAT(EmpTable[[#This Row],[First Name]],EmpTable[[#This Row],[Last Name]])</f>
        <v>JwnyAlrashid</v>
      </c>
      <c r="E128" t="s">
        <v>32</v>
      </c>
      <c r="F128" s="1">
        <v>42943</v>
      </c>
      <c r="G128" s="2">
        <f ca="1">DATEDIF(EmpTable[[#This Row],[Start Date]],TODAY(),"Y")</f>
        <v>8</v>
      </c>
      <c r="H128" s="2" t="str" cm="1">
        <f t="array" aca="1" ref="H128" ca="1">_xlfn.IFS(G128&lt;=1,"Fresh",G128&lt;=3,"Junior",G128&lt;=7,"Teamlead",G128&gt;=7,"manger")</f>
        <v>manger</v>
      </c>
      <c r="I128" t="s">
        <v>28</v>
      </c>
      <c r="J128" t="s">
        <v>18</v>
      </c>
      <c r="K128" t="s">
        <v>42</v>
      </c>
      <c r="L128">
        <v>1423</v>
      </c>
      <c r="M128">
        <v>17076</v>
      </c>
      <c r="N128">
        <v>3</v>
      </c>
      <c r="O128" t="str" cm="1">
        <f t="array" ref="O128">_xlfn.IFS(EmpTable[[#This Row],[Job Rate]] &lt;=1,"LOW",N128&lt;=2,"LOW",N128&lt;=3,"MEDIUM",N128&gt;4,"HIGH")</f>
        <v>MEDIUM</v>
      </c>
      <c r="P128">
        <v>0</v>
      </c>
      <c r="Q128">
        <v>0</v>
      </c>
      <c r="R128">
        <v>4</v>
      </c>
    </row>
    <row r="129" spans="1:18" x14ac:dyDescent="0.3">
      <c r="A129">
        <v>128</v>
      </c>
      <c r="B129" t="s">
        <v>158</v>
      </c>
      <c r="C129" t="s">
        <v>240</v>
      </c>
      <c r="D129" t="str">
        <f>_xlfn.CONCAT(EmpTable[[#This Row],[First Name]],EmpTable[[#This Row],[Last Name]])</f>
        <v>KaramKiali</v>
      </c>
      <c r="E129" t="s">
        <v>32</v>
      </c>
      <c r="F129" s="1">
        <v>43309</v>
      </c>
      <c r="G129" s="2">
        <f ca="1">DATEDIF(EmpTable[[#This Row],[Start Date]],TODAY(),"Y")</f>
        <v>7</v>
      </c>
      <c r="H129" s="2" t="str" cm="1">
        <f t="array" aca="1" ref="H129" ca="1">_xlfn.IFS(G129&lt;=1,"Fresh",G129&lt;=3,"Junior",G129&lt;=7,"Teamlead",G129&gt;=7,"manger")</f>
        <v>Teamlead</v>
      </c>
      <c r="I129" t="s">
        <v>200</v>
      </c>
      <c r="J129" t="s">
        <v>29</v>
      </c>
      <c r="K129" t="s">
        <v>42</v>
      </c>
      <c r="L129">
        <v>2174</v>
      </c>
      <c r="M129">
        <v>26088</v>
      </c>
      <c r="N129">
        <v>2</v>
      </c>
      <c r="O129" t="str" cm="1">
        <f t="array" ref="O129">_xlfn.IFS(EmpTable[[#This Row],[Job Rate]] &lt;=1,"LOW",N129&lt;=2,"LOW",N129&lt;=3,"MEDIUM",N129&gt;4,"HIGH")</f>
        <v>LOW</v>
      </c>
      <c r="P129">
        <v>6</v>
      </c>
      <c r="Q129">
        <v>0</v>
      </c>
      <c r="R129">
        <v>10</v>
      </c>
    </row>
    <row r="130" spans="1:18" x14ac:dyDescent="0.3">
      <c r="A130">
        <v>129</v>
      </c>
      <c r="B130" t="s">
        <v>241</v>
      </c>
      <c r="C130" t="s">
        <v>242</v>
      </c>
      <c r="D130" t="str">
        <f>_xlfn.CONCAT(EmpTable[[#This Row],[First Name]],EmpTable[[#This Row],[Last Name]])</f>
        <v>JamalAlhalib</v>
      </c>
      <c r="E130" t="s">
        <v>32</v>
      </c>
      <c r="F130" s="1">
        <v>44030</v>
      </c>
      <c r="G130" s="2">
        <f ca="1">DATEDIF(EmpTable[[#This Row],[Start Date]],TODAY(),"Y")</f>
        <v>5</v>
      </c>
      <c r="H130" s="2" t="str" cm="1">
        <f t="array" aca="1" ref="H130" ca="1">_xlfn.IFS(G130&lt;=1,"Fresh",G130&lt;=3,"Junior",G130&lt;=7,"Teamlead",G130&gt;=7,"manger")</f>
        <v>Teamlead</v>
      </c>
      <c r="I130" t="s">
        <v>58</v>
      </c>
      <c r="J130" t="s">
        <v>18</v>
      </c>
      <c r="K130" t="s">
        <v>36</v>
      </c>
      <c r="L130">
        <v>2182</v>
      </c>
      <c r="M130">
        <v>26184</v>
      </c>
      <c r="N130">
        <v>4.5</v>
      </c>
      <c r="O130" t="str" cm="1">
        <f t="array" ref="O130">_xlfn.IFS(EmpTable[[#This Row],[Job Rate]] &lt;=1,"LOW",N130&lt;=2,"LOW",N130&lt;=3,"MEDIUM",N130&gt;4,"HIGH")</f>
        <v>HIGH</v>
      </c>
      <c r="P130">
        <v>6</v>
      </c>
      <c r="Q130">
        <v>0</v>
      </c>
      <c r="R130">
        <v>74</v>
      </c>
    </row>
    <row r="131" spans="1:18" x14ac:dyDescent="0.3">
      <c r="A131">
        <v>130</v>
      </c>
      <c r="B131" t="s">
        <v>243</v>
      </c>
      <c r="C131" t="s">
        <v>244</v>
      </c>
      <c r="D131" t="str">
        <f>_xlfn.CONCAT(EmpTable[[#This Row],[First Name]],EmpTable[[#This Row],[Last Name]])</f>
        <v>SuzanAlsawis</v>
      </c>
      <c r="E131" t="s">
        <v>307</v>
      </c>
      <c r="F131" s="1">
        <v>43675</v>
      </c>
      <c r="G131" s="2">
        <f ca="1">DATEDIF(EmpTable[[#This Row],[Start Date]],TODAY(),"Y")</f>
        <v>6</v>
      </c>
      <c r="H131" s="2" t="str" cm="1">
        <f t="array" aca="1" ref="H131" ca="1">_xlfn.IFS(G131&lt;=1,"Fresh",G131&lt;=3,"Junior",G131&lt;=7,"Teamlead",G131&gt;=7,"manger")</f>
        <v>Teamlead</v>
      </c>
      <c r="I131" t="s">
        <v>17</v>
      </c>
      <c r="J131" t="s">
        <v>18</v>
      </c>
      <c r="K131" t="s">
        <v>42</v>
      </c>
      <c r="L131">
        <v>2437</v>
      </c>
      <c r="M131">
        <v>29244</v>
      </c>
      <c r="N131">
        <v>3</v>
      </c>
      <c r="O131" t="str" cm="1">
        <f t="array" ref="O131">_xlfn.IFS(EmpTable[[#This Row],[Job Rate]] &lt;=1,"LOW",N131&lt;=2,"LOW",N131&lt;=3,"MEDIUM",N131&gt;4,"HIGH")</f>
        <v>MEDIUM</v>
      </c>
      <c r="P131">
        <v>0</v>
      </c>
      <c r="Q131">
        <v>0</v>
      </c>
      <c r="R131">
        <v>2</v>
      </c>
    </row>
    <row r="132" spans="1:18" x14ac:dyDescent="0.3">
      <c r="A132">
        <v>131</v>
      </c>
      <c r="B132" t="s">
        <v>59</v>
      </c>
      <c r="C132" t="s">
        <v>245</v>
      </c>
      <c r="D132" t="str">
        <f>_xlfn.CONCAT(EmpTable[[#This Row],[First Name]],EmpTable[[#This Row],[Last Name]])</f>
        <v>AlaaEfan</v>
      </c>
      <c r="E132" t="s">
        <v>307</v>
      </c>
      <c r="F132" s="1">
        <v>43726</v>
      </c>
      <c r="G132" s="2">
        <f ca="1">DATEDIF(EmpTable[[#This Row],[Start Date]],TODAY(),"Y")</f>
        <v>6</v>
      </c>
      <c r="H132" s="2" t="str" cm="1">
        <f t="array" aca="1" ref="H132" ca="1">_xlfn.IFS(G132&lt;=1,"Fresh",G132&lt;=3,"Junior",G132&lt;=7,"Teamlead",G132&gt;=7,"manger")</f>
        <v>Teamlead</v>
      </c>
      <c r="I132" t="s">
        <v>17</v>
      </c>
      <c r="J132" t="s">
        <v>18</v>
      </c>
      <c r="K132" t="s">
        <v>42</v>
      </c>
      <c r="L132">
        <v>926</v>
      </c>
      <c r="M132">
        <v>11112</v>
      </c>
      <c r="N132">
        <v>2</v>
      </c>
      <c r="O132" t="str" cm="1">
        <f t="array" ref="O132">_xlfn.IFS(EmpTable[[#This Row],[Job Rate]] &lt;=1,"LOW",N132&lt;=2,"LOW",N132&lt;=3,"MEDIUM",N132&gt;4,"HIGH")</f>
        <v>LOW</v>
      </c>
      <c r="P132">
        <v>3</v>
      </c>
      <c r="Q132">
        <v>0</v>
      </c>
      <c r="R132">
        <v>1</v>
      </c>
    </row>
    <row r="133" spans="1:18" x14ac:dyDescent="0.3">
      <c r="A133">
        <v>132</v>
      </c>
      <c r="B133" t="s">
        <v>246</v>
      </c>
      <c r="C133" t="s">
        <v>247</v>
      </c>
      <c r="D133" t="str">
        <f>_xlfn.CONCAT(EmpTable[[#This Row],[First Name]],EmpTable[[#This Row],[Last Name]])</f>
        <v>JihadAldarawasha</v>
      </c>
      <c r="E133" t="s">
        <v>32</v>
      </c>
      <c r="F133" s="1">
        <v>42765</v>
      </c>
      <c r="G133" s="2">
        <f ca="1">DATEDIF(EmpTable[[#This Row],[Start Date]],TODAY(),"Y")</f>
        <v>9</v>
      </c>
      <c r="H133" s="2" t="str" cm="1">
        <f t="array" aca="1" ref="H133" ca="1">_xlfn.IFS(G133&lt;=1,"Fresh",G133&lt;=3,"Junior",G133&lt;=7,"Teamlead",G133&gt;=7,"manger")</f>
        <v>manger</v>
      </c>
      <c r="I133" t="s">
        <v>58</v>
      </c>
      <c r="J133" t="s">
        <v>29</v>
      </c>
      <c r="K133" t="s">
        <v>19</v>
      </c>
      <c r="L133">
        <v>1506</v>
      </c>
      <c r="M133">
        <v>18072</v>
      </c>
      <c r="N133">
        <v>3</v>
      </c>
      <c r="O133" t="str" cm="1">
        <f t="array" ref="O133">_xlfn.IFS(EmpTable[[#This Row],[Job Rate]] &lt;=1,"LOW",N133&lt;=2,"LOW",N133&lt;=3,"MEDIUM",N133&gt;4,"HIGH")</f>
        <v>MEDIUM</v>
      </c>
      <c r="P133">
        <v>0</v>
      </c>
      <c r="Q133">
        <v>0</v>
      </c>
      <c r="R133">
        <v>1</v>
      </c>
    </row>
    <row r="134" spans="1:18" x14ac:dyDescent="0.3">
      <c r="A134">
        <v>133</v>
      </c>
      <c r="B134" t="s">
        <v>33</v>
      </c>
      <c r="C134" t="s">
        <v>165</v>
      </c>
      <c r="D134" t="str">
        <f>_xlfn.CONCAT(EmpTable[[#This Row],[First Name]],EmpTable[[#This Row],[Last Name]])</f>
        <v>MuhamadKhalid</v>
      </c>
      <c r="E134" t="s">
        <v>32</v>
      </c>
      <c r="F134" s="1">
        <v>43103</v>
      </c>
      <c r="G134" s="2">
        <f ca="1">DATEDIF(EmpTable[[#This Row],[Start Date]],TODAY(),"Y")</f>
        <v>8</v>
      </c>
      <c r="H134" s="2" t="str" cm="1">
        <f t="array" aca="1" ref="H134" ca="1">_xlfn.IFS(G134&lt;=1,"Fresh",G134&lt;=3,"Junior",G134&lt;=7,"Teamlead",G134&gt;=7,"manger")</f>
        <v>manger</v>
      </c>
      <c r="I134" t="s">
        <v>50</v>
      </c>
      <c r="J134" t="s">
        <v>22</v>
      </c>
      <c r="K134" t="s">
        <v>36</v>
      </c>
      <c r="L134">
        <v>3159</v>
      </c>
      <c r="M134">
        <v>37908</v>
      </c>
      <c r="N134">
        <v>5</v>
      </c>
      <c r="O134" t="str" cm="1">
        <f t="array" ref="O134">_xlfn.IFS(EmpTable[[#This Row],[Job Rate]] &lt;=1,"LOW",N134&lt;=2,"LOW",N134&lt;=3,"MEDIUM",N134&gt;4,"HIGH")</f>
        <v>HIGH</v>
      </c>
      <c r="P134">
        <v>0</v>
      </c>
      <c r="Q134">
        <v>0</v>
      </c>
      <c r="R134">
        <v>10</v>
      </c>
    </row>
    <row r="135" spans="1:18" x14ac:dyDescent="0.3">
      <c r="A135">
        <v>134</v>
      </c>
      <c r="B135" t="s">
        <v>248</v>
      </c>
      <c r="C135" t="s">
        <v>249</v>
      </c>
      <c r="D135" t="str">
        <f>_xlfn.CONCAT(EmpTable[[#This Row],[First Name]],EmpTable[[#This Row],[Last Name]])</f>
        <v>HaithimHujah</v>
      </c>
      <c r="E135" t="s">
        <v>32</v>
      </c>
      <c r="F135" s="1">
        <v>42982</v>
      </c>
      <c r="G135" s="2">
        <f ca="1">DATEDIF(EmpTable[[#This Row],[Start Date]],TODAY(),"Y")</f>
        <v>8</v>
      </c>
      <c r="H135" s="2" t="str" cm="1">
        <f t="array" aca="1" ref="H135" ca="1">_xlfn.IFS(G135&lt;=1,"Fresh",G135&lt;=3,"Junior",G135&lt;=7,"Teamlead",G135&gt;=7,"manger")</f>
        <v>manger</v>
      </c>
      <c r="I135" t="s">
        <v>77</v>
      </c>
      <c r="J135" t="s">
        <v>48</v>
      </c>
      <c r="K135" t="s">
        <v>36</v>
      </c>
      <c r="L135">
        <v>1117</v>
      </c>
      <c r="M135">
        <v>13404</v>
      </c>
      <c r="N135">
        <v>1</v>
      </c>
      <c r="O135" t="str" cm="1">
        <f t="array" ref="O135">_xlfn.IFS(EmpTable[[#This Row],[Job Rate]] &lt;=1,"LOW",N135&lt;=2,"LOW",N135&lt;=3,"MEDIUM",N135&gt;4,"HIGH")</f>
        <v>LOW</v>
      </c>
      <c r="P135">
        <v>0</v>
      </c>
      <c r="Q135">
        <v>0</v>
      </c>
      <c r="R135">
        <v>3</v>
      </c>
    </row>
    <row r="136" spans="1:18" x14ac:dyDescent="0.3">
      <c r="A136">
        <v>135</v>
      </c>
      <c r="B136" t="s">
        <v>250</v>
      </c>
      <c r="C136" t="s">
        <v>251</v>
      </c>
      <c r="D136" t="str">
        <f>_xlfn.CONCAT(EmpTable[[#This Row],[First Name]],EmpTable[[#This Row],[Last Name]])</f>
        <v>DuhanaAlakhris</v>
      </c>
      <c r="E136" t="s">
        <v>307</v>
      </c>
      <c r="F136" s="1">
        <v>43265</v>
      </c>
      <c r="G136" s="2">
        <f ca="1">DATEDIF(EmpTable[[#This Row],[Start Date]],TODAY(),"Y")</f>
        <v>7</v>
      </c>
      <c r="H136" s="2" t="str" cm="1">
        <f t="array" aca="1" ref="H136" ca="1">_xlfn.IFS(G136&lt;=1,"Fresh",G136&lt;=3,"Junior",G136&lt;=7,"Teamlead",G136&gt;=7,"manger")</f>
        <v>Teamlead</v>
      </c>
      <c r="I136" t="s">
        <v>17</v>
      </c>
      <c r="J136" t="s">
        <v>48</v>
      </c>
      <c r="K136" t="s">
        <v>19</v>
      </c>
      <c r="L136">
        <v>2379</v>
      </c>
      <c r="M136">
        <v>28548</v>
      </c>
      <c r="N136">
        <v>4.5</v>
      </c>
      <c r="O136" t="str" cm="1">
        <f t="array" ref="O136">_xlfn.IFS(EmpTable[[#This Row],[Job Rate]] &lt;=1,"LOW",N136&lt;=2,"LOW",N136&lt;=3,"MEDIUM",N136&gt;4,"HIGH")</f>
        <v>HIGH</v>
      </c>
      <c r="P136">
        <v>0</v>
      </c>
      <c r="Q136">
        <v>0</v>
      </c>
      <c r="R136">
        <v>7</v>
      </c>
    </row>
    <row r="137" spans="1:18" x14ac:dyDescent="0.3">
      <c r="A137">
        <v>136</v>
      </c>
      <c r="B137" t="s">
        <v>252</v>
      </c>
      <c r="C137" t="s">
        <v>216</v>
      </c>
      <c r="D137" t="str">
        <f>_xlfn.CONCAT(EmpTable[[#This Row],[First Name]],EmpTable[[#This Row],[Last Name]])</f>
        <v>EazalidinAlmala</v>
      </c>
      <c r="E137" t="s">
        <v>32</v>
      </c>
      <c r="F137" s="1">
        <v>43797</v>
      </c>
      <c r="G137" s="2">
        <f ca="1">DATEDIF(EmpTable[[#This Row],[Start Date]],TODAY(),"Y")</f>
        <v>6</v>
      </c>
      <c r="H137" s="2" t="str" cm="1">
        <f t="array" aca="1" ref="H137" ca="1">_xlfn.IFS(G137&lt;=1,"Fresh",G137&lt;=3,"Junior",G137&lt;=7,"Teamlead",G137&gt;=7,"manger")</f>
        <v>Teamlead</v>
      </c>
      <c r="I137" t="s">
        <v>28</v>
      </c>
      <c r="J137" t="s">
        <v>18</v>
      </c>
      <c r="K137" t="s">
        <v>42</v>
      </c>
      <c r="L137">
        <v>2372</v>
      </c>
      <c r="M137">
        <v>28464</v>
      </c>
      <c r="N137">
        <v>5</v>
      </c>
      <c r="O137" t="str" cm="1">
        <f t="array" ref="O137">_xlfn.IFS(EmpTable[[#This Row],[Job Rate]] &lt;=1,"LOW",N137&lt;=2,"LOW",N137&lt;=3,"MEDIUM",N137&gt;4,"HIGH")</f>
        <v>HIGH</v>
      </c>
      <c r="P137">
        <v>4</v>
      </c>
      <c r="Q137">
        <v>1</v>
      </c>
      <c r="R137">
        <v>6</v>
      </c>
    </row>
    <row r="138" spans="1:18" x14ac:dyDescent="0.3">
      <c r="A138">
        <v>137</v>
      </c>
      <c r="B138" t="s">
        <v>253</v>
      </c>
      <c r="C138" t="s">
        <v>254</v>
      </c>
      <c r="D138" t="str">
        <f>_xlfn.CONCAT(EmpTable[[#This Row],[First Name]],EmpTable[[#This Row],[Last Name]])</f>
        <v>HabibKlizli</v>
      </c>
      <c r="E138" t="s">
        <v>32</v>
      </c>
      <c r="F138" s="1">
        <v>43870</v>
      </c>
      <c r="G138" s="2">
        <f ca="1">DATEDIF(EmpTable[[#This Row],[Start Date]],TODAY(),"Y")</f>
        <v>6</v>
      </c>
      <c r="H138" s="2" t="str" cm="1">
        <f t="array" aca="1" ref="H138" ca="1">_xlfn.IFS(G138&lt;=1,"Fresh",G138&lt;=3,"Junior",G138&lt;=7,"Teamlead",G138&gt;=7,"manger")</f>
        <v>Teamlead</v>
      </c>
      <c r="I138" t="s">
        <v>77</v>
      </c>
      <c r="J138" t="s">
        <v>18</v>
      </c>
      <c r="K138" t="s">
        <v>36</v>
      </c>
      <c r="L138">
        <v>2908</v>
      </c>
      <c r="M138">
        <v>34896</v>
      </c>
      <c r="N138">
        <v>3</v>
      </c>
      <c r="O138" t="str" cm="1">
        <f t="array" ref="O138">_xlfn.IFS(EmpTable[[#This Row],[Job Rate]] &lt;=1,"LOW",N138&lt;=2,"LOW",N138&lt;=3,"MEDIUM",N138&gt;4,"HIGH")</f>
        <v>MEDIUM</v>
      </c>
      <c r="P138">
        <v>0</v>
      </c>
      <c r="Q138">
        <v>0</v>
      </c>
      <c r="R138">
        <v>12</v>
      </c>
    </row>
    <row r="139" spans="1:18" x14ac:dyDescent="0.3">
      <c r="A139">
        <v>138</v>
      </c>
      <c r="B139" t="s">
        <v>172</v>
      </c>
      <c r="C139" t="s">
        <v>255</v>
      </c>
      <c r="D139" t="str">
        <f>_xlfn.CONCAT(EmpTable[[#This Row],[First Name]],EmpTable[[#This Row],[Last Name]])</f>
        <v>RashaBajubuj</v>
      </c>
      <c r="E139" t="s">
        <v>307</v>
      </c>
      <c r="F139" s="1">
        <v>43963</v>
      </c>
      <c r="G139" s="2">
        <f ca="1">DATEDIF(EmpTable[[#This Row],[Start Date]],TODAY(),"Y")</f>
        <v>5</v>
      </c>
      <c r="H139" s="2" t="str" cm="1">
        <f t="array" aca="1" ref="H139" ca="1">_xlfn.IFS(G139&lt;=1,"Fresh",G139&lt;=3,"Junior",G139&lt;=7,"Teamlead",G139&gt;=7,"manger")</f>
        <v>Teamlead</v>
      </c>
      <c r="I139" t="s">
        <v>93</v>
      </c>
      <c r="J139" t="s">
        <v>18</v>
      </c>
      <c r="K139" t="s">
        <v>42</v>
      </c>
      <c r="L139">
        <v>2019</v>
      </c>
      <c r="M139">
        <v>24228</v>
      </c>
      <c r="N139">
        <v>3</v>
      </c>
      <c r="O139" t="str" cm="1">
        <f t="array" ref="O139">_xlfn.IFS(EmpTable[[#This Row],[Job Rate]] &lt;=1,"LOW",N139&lt;=2,"LOW",N139&lt;=3,"MEDIUM",N139&gt;4,"HIGH")</f>
        <v>MEDIUM</v>
      </c>
      <c r="P139">
        <v>5</v>
      </c>
      <c r="Q139">
        <v>2</v>
      </c>
      <c r="R139">
        <v>15</v>
      </c>
    </row>
    <row r="140" spans="1:18" x14ac:dyDescent="0.3">
      <c r="A140">
        <v>139</v>
      </c>
      <c r="B140" t="s">
        <v>219</v>
      </c>
      <c r="C140" t="s">
        <v>256</v>
      </c>
      <c r="D140" t="str">
        <f>_xlfn.CONCAT(EmpTable[[#This Row],[First Name]],EmpTable[[#This Row],[Last Name]])</f>
        <v>MahirAlbaghdadi</v>
      </c>
      <c r="E140" t="s">
        <v>32</v>
      </c>
      <c r="F140" s="1">
        <v>43249</v>
      </c>
      <c r="G140" s="2">
        <f ca="1">DATEDIF(EmpTable[[#This Row],[Start Date]],TODAY(),"Y")</f>
        <v>7</v>
      </c>
      <c r="H140" s="2" t="str" cm="1">
        <f t="array" aca="1" ref="H140" ca="1">_xlfn.IFS(G140&lt;=1,"Fresh",G140&lt;=3,"Junior",G140&lt;=7,"Teamlead",G140&gt;=7,"manger")</f>
        <v>Teamlead</v>
      </c>
      <c r="I140" t="s">
        <v>28</v>
      </c>
      <c r="J140" t="s">
        <v>18</v>
      </c>
      <c r="K140" t="s">
        <v>36</v>
      </c>
      <c r="L140">
        <v>877</v>
      </c>
      <c r="M140">
        <v>10524</v>
      </c>
      <c r="N140">
        <v>1</v>
      </c>
      <c r="O140" t="str" cm="1">
        <f t="array" ref="O140">_xlfn.IFS(EmpTable[[#This Row],[Job Rate]] &lt;=1,"LOW",N140&lt;=2,"LOW",N140&lt;=3,"MEDIUM",N140&gt;4,"HIGH")</f>
        <v>LOW</v>
      </c>
      <c r="P140">
        <v>0</v>
      </c>
      <c r="Q140">
        <v>0</v>
      </c>
      <c r="R140">
        <v>0</v>
      </c>
    </row>
    <row r="141" spans="1:18" x14ac:dyDescent="0.3">
      <c r="A141">
        <v>140</v>
      </c>
      <c r="B141" t="s">
        <v>59</v>
      </c>
      <c r="C141" t="s">
        <v>257</v>
      </c>
      <c r="D141" t="str">
        <f>_xlfn.CONCAT(EmpTable[[#This Row],[First Name]],EmpTable[[#This Row],[Last Name]])</f>
        <v>AlaaAlmunzilijiu</v>
      </c>
      <c r="E141" t="s">
        <v>32</v>
      </c>
      <c r="F141" s="1">
        <v>43546</v>
      </c>
      <c r="G141" s="2">
        <f ca="1">DATEDIF(EmpTable[[#This Row],[Start Date]],TODAY(),"Y")</f>
        <v>7</v>
      </c>
      <c r="H141" s="2" t="str" cm="1">
        <f t="array" aca="1" ref="H141" ca="1">_xlfn.IFS(G141&lt;=1,"Fresh",G141&lt;=3,"Junior",G141&lt;=7,"Teamlead",G141&gt;=7,"manger")</f>
        <v>Teamlead</v>
      </c>
      <c r="I141" t="s">
        <v>58</v>
      </c>
      <c r="J141" t="s">
        <v>18</v>
      </c>
      <c r="K141" t="s">
        <v>36</v>
      </c>
      <c r="L141">
        <v>1043</v>
      </c>
      <c r="M141">
        <v>12516</v>
      </c>
      <c r="N141">
        <v>5</v>
      </c>
      <c r="O141" t="str" cm="1">
        <f t="array" ref="O141">_xlfn.IFS(EmpTable[[#This Row],[Job Rate]] &lt;=1,"LOW",N141&lt;=2,"LOW",N141&lt;=3,"MEDIUM",N141&gt;4,"HIGH")</f>
        <v>HIGH</v>
      </c>
      <c r="P141">
        <v>0</v>
      </c>
      <c r="Q141">
        <v>0</v>
      </c>
      <c r="R141">
        <v>0</v>
      </c>
    </row>
    <row r="142" spans="1:18" x14ac:dyDescent="0.3">
      <c r="A142">
        <v>141</v>
      </c>
      <c r="B142" t="s">
        <v>258</v>
      </c>
      <c r="C142" t="s">
        <v>259</v>
      </c>
      <c r="D142" t="str">
        <f>_xlfn.CONCAT(EmpTable[[#This Row],[First Name]],EmpTable[[#This Row],[Last Name]])</f>
        <v>LabanaaQaziyha</v>
      </c>
      <c r="E142" t="s">
        <v>307</v>
      </c>
      <c r="F142" s="1">
        <v>43698</v>
      </c>
      <c r="G142" s="2">
        <f ca="1">DATEDIF(EmpTable[[#This Row],[Start Date]],TODAY(),"Y")</f>
        <v>6</v>
      </c>
      <c r="H142" s="2" t="str" cm="1">
        <f t="array" aca="1" ref="H142" ca="1">_xlfn.IFS(G142&lt;=1,"Fresh",G142&lt;=3,"Junior",G142&lt;=7,"Teamlead",G142&gt;=7,"manger")</f>
        <v>Teamlead</v>
      </c>
      <c r="I142" t="s">
        <v>50</v>
      </c>
      <c r="J142" t="s">
        <v>29</v>
      </c>
      <c r="K142" t="s">
        <v>42</v>
      </c>
      <c r="L142">
        <v>3258</v>
      </c>
      <c r="M142">
        <v>39096</v>
      </c>
      <c r="N142">
        <v>3</v>
      </c>
      <c r="O142" t="str" cm="1">
        <f t="array" ref="O142">_xlfn.IFS(EmpTable[[#This Row],[Job Rate]] &lt;=1,"LOW",N142&lt;=2,"LOW",N142&lt;=3,"MEDIUM",N142&gt;4,"HIGH")</f>
        <v>MEDIUM</v>
      </c>
      <c r="P142">
        <v>3</v>
      </c>
      <c r="Q142">
        <v>0</v>
      </c>
      <c r="R142">
        <v>0</v>
      </c>
    </row>
    <row r="143" spans="1:18" x14ac:dyDescent="0.3">
      <c r="A143">
        <v>142</v>
      </c>
      <c r="B143" t="s">
        <v>260</v>
      </c>
      <c r="C143" t="s">
        <v>80</v>
      </c>
      <c r="D143" t="str">
        <f>_xlfn.CONCAT(EmpTable[[#This Row],[First Name]],EmpTable[[#This Row],[Last Name]])</f>
        <v>FatnhAbu</v>
      </c>
      <c r="E143" t="s">
        <v>307</v>
      </c>
      <c r="F143" s="1">
        <v>44165</v>
      </c>
      <c r="G143" s="2">
        <f ca="1">DATEDIF(EmpTable[[#This Row],[Start Date]],TODAY(),"Y")</f>
        <v>5</v>
      </c>
      <c r="H143" s="2" t="str" cm="1">
        <f t="array" aca="1" ref="H143" ca="1">_xlfn.IFS(G143&lt;=1,"Fresh",G143&lt;=3,"Junior",G143&lt;=7,"Teamlead",G143&gt;=7,"manger")</f>
        <v>Teamlead</v>
      </c>
      <c r="I143" t="s">
        <v>77</v>
      </c>
      <c r="J143" t="s">
        <v>22</v>
      </c>
      <c r="K143" t="s">
        <v>36</v>
      </c>
      <c r="L143">
        <v>976</v>
      </c>
      <c r="M143">
        <v>11712</v>
      </c>
      <c r="N143">
        <v>5</v>
      </c>
      <c r="O143" t="str" cm="1">
        <f t="array" ref="O143">_xlfn.IFS(EmpTable[[#This Row],[Job Rate]] &lt;=1,"LOW",N143&lt;=2,"LOW",N143&lt;=3,"MEDIUM",N143&gt;4,"HIGH")</f>
        <v>HIGH</v>
      </c>
      <c r="P143">
        <v>5</v>
      </c>
      <c r="Q143">
        <v>0</v>
      </c>
      <c r="R143">
        <v>2</v>
      </c>
    </row>
    <row r="144" spans="1:18" x14ac:dyDescent="0.3">
      <c r="A144">
        <v>143</v>
      </c>
      <c r="B144" t="s">
        <v>261</v>
      </c>
      <c r="C144" t="s">
        <v>138</v>
      </c>
      <c r="D144" t="str">
        <f>_xlfn.CONCAT(EmpTable[[#This Row],[First Name]],EmpTable[[#This Row],[Last Name]])</f>
        <v>IilyasDahadal</v>
      </c>
      <c r="E144" t="s">
        <v>307</v>
      </c>
      <c r="F144" s="1">
        <v>43571</v>
      </c>
      <c r="G144" s="2">
        <f ca="1">DATEDIF(EmpTable[[#This Row],[Start Date]],TODAY(),"Y")</f>
        <v>6</v>
      </c>
      <c r="H144" s="2" t="str" cm="1">
        <f t="array" aca="1" ref="H144" ca="1">_xlfn.IFS(G144&lt;=1,"Fresh",G144&lt;=3,"Junior",G144&lt;=7,"Teamlead",G144&gt;=7,"manger")</f>
        <v>Teamlead</v>
      </c>
      <c r="I144" t="s">
        <v>41</v>
      </c>
      <c r="J144" t="s">
        <v>18</v>
      </c>
      <c r="K144" t="s">
        <v>42</v>
      </c>
      <c r="L144">
        <v>3096</v>
      </c>
      <c r="M144">
        <v>37152</v>
      </c>
      <c r="N144">
        <v>2</v>
      </c>
      <c r="O144" t="str" cm="1">
        <f t="array" ref="O144">_xlfn.IFS(EmpTable[[#This Row],[Job Rate]] &lt;=1,"LOW",N144&lt;=2,"LOW",N144&lt;=3,"MEDIUM",N144&gt;4,"HIGH")</f>
        <v>LOW</v>
      </c>
      <c r="P144">
        <v>0</v>
      </c>
      <c r="Q144">
        <v>0</v>
      </c>
      <c r="R144">
        <v>8</v>
      </c>
    </row>
    <row r="145" spans="1:18" x14ac:dyDescent="0.3">
      <c r="A145">
        <v>144</v>
      </c>
      <c r="B145" t="s">
        <v>121</v>
      </c>
      <c r="C145" t="s">
        <v>262</v>
      </c>
      <c r="D145" t="str">
        <f>_xlfn.CONCAT(EmpTable[[#This Row],[First Name]],EmpTable[[#This Row],[Last Name]])</f>
        <v>RimHuaydi</v>
      </c>
      <c r="E145" t="s">
        <v>307</v>
      </c>
      <c r="F145" s="1">
        <v>43551</v>
      </c>
      <c r="G145" s="2">
        <f ca="1">DATEDIF(EmpTable[[#This Row],[Start Date]],TODAY(),"Y")</f>
        <v>7</v>
      </c>
      <c r="H145" s="2" t="str" cm="1">
        <f t="array" aca="1" ref="H145" ca="1">_xlfn.IFS(G145&lt;=1,"Fresh",G145&lt;=3,"Junior",G145&lt;=7,"Teamlead",G145&gt;=7,"manger")</f>
        <v>Teamlead</v>
      </c>
      <c r="I145" t="s">
        <v>76</v>
      </c>
      <c r="J145" t="s">
        <v>18</v>
      </c>
      <c r="K145" t="s">
        <v>19</v>
      </c>
      <c r="L145">
        <v>1985</v>
      </c>
      <c r="M145">
        <v>23820</v>
      </c>
      <c r="N145">
        <v>3</v>
      </c>
      <c r="O145" t="str" cm="1">
        <f t="array" ref="O145">_xlfn.IFS(EmpTable[[#This Row],[Job Rate]] &lt;=1,"LOW",N145&lt;=2,"LOW",N145&lt;=3,"MEDIUM",N145&gt;4,"HIGH")</f>
        <v>MEDIUM</v>
      </c>
      <c r="P145">
        <v>6</v>
      </c>
      <c r="Q145">
        <v>2</v>
      </c>
      <c r="R145">
        <v>6</v>
      </c>
    </row>
    <row r="146" spans="1:18" x14ac:dyDescent="0.3">
      <c r="A146">
        <v>145</v>
      </c>
      <c r="B146" t="s">
        <v>30</v>
      </c>
      <c r="C146" t="s">
        <v>33</v>
      </c>
      <c r="D146" t="str">
        <f>_xlfn.CONCAT(EmpTable[[#This Row],[First Name]],EmpTable[[#This Row],[Last Name]])</f>
        <v>AhmadMuhamad</v>
      </c>
      <c r="E146" t="s">
        <v>32</v>
      </c>
      <c r="F146" s="1">
        <v>43850</v>
      </c>
      <c r="G146" s="2">
        <f ca="1">DATEDIF(EmpTable[[#This Row],[Start Date]],TODAY(),"Y")</f>
        <v>6</v>
      </c>
      <c r="H146" s="2" t="str" cm="1">
        <f t="array" aca="1" ref="H146" ca="1">_xlfn.IFS(G146&lt;=1,"Fresh",G146&lt;=3,"Junior",G146&lt;=7,"Teamlead",G146&gt;=7,"manger")</f>
        <v>Teamlead</v>
      </c>
      <c r="I146" t="s">
        <v>35</v>
      </c>
      <c r="J146" t="s">
        <v>29</v>
      </c>
      <c r="K146" t="s">
        <v>42</v>
      </c>
      <c r="L146">
        <v>2371</v>
      </c>
      <c r="M146">
        <v>28452</v>
      </c>
      <c r="N146">
        <v>5</v>
      </c>
      <c r="O146" t="str" cm="1">
        <f t="array" ref="O146">_xlfn.IFS(EmpTable[[#This Row],[Job Rate]] &lt;=1,"LOW",N146&lt;=2,"LOW",N146&lt;=3,"MEDIUM",N146&gt;4,"HIGH")</f>
        <v>HIGH</v>
      </c>
      <c r="P146">
        <v>0</v>
      </c>
      <c r="Q146">
        <v>0</v>
      </c>
      <c r="R146">
        <v>1</v>
      </c>
    </row>
    <row r="147" spans="1:18" x14ac:dyDescent="0.3">
      <c r="A147">
        <v>146</v>
      </c>
      <c r="B147" t="s">
        <v>263</v>
      </c>
      <c r="C147" t="s">
        <v>264</v>
      </c>
      <c r="D147" t="str">
        <f>_xlfn.CONCAT(EmpTable[[#This Row],[First Name]],EmpTable[[#This Row],[Last Name]])</f>
        <v>Abd AlruhminAlmahrus</v>
      </c>
      <c r="E147" t="s">
        <v>32</v>
      </c>
      <c r="F147" s="1">
        <v>43520</v>
      </c>
      <c r="G147" s="2">
        <f ca="1">DATEDIF(EmpTable[[#This Row],[Start Date]],TODAY(),"Y")</f>
        <v>7</v>
      </c>
      <c r="H147" s="2" t="str" cm="1">
        <f t="array" aca="1" ref="H147" ca="1">_xlfn.IFS(G147&lt;=1,"Fresh",G147&lt;=3,"Junior",G147&lt;=7,"Teamlead",G147&gt;=7,"manger")</f>
        <v>Teamlead</v>
      </c>
      <c r="I147" t="s">
        <v>77</v>
      </c>
      <c r="J147" t="s">
        <v>18</v>
      </c>
      <c r="K147" t="s">
        <v>36</v>
      </c>
      <c r="L147">
        <v>2562</v>
      </c>
      <c r="M147">
        <v>30744</v>
      </c>
      <c r="N147">
        <v>2</v>
      </c>
      <c r="O147" t="str" cm="1">
        <f t="array" ref="O147">_xlfn.IFS(EmpTable[[#This Row],[Job Rate]] &lt;=1,"LOW",N147&lt;=2,"LOW",N147&lt;=3,"MEDIUM",N147&gt;4,"HIGH")</f>
        <v>LOW</v>
      </c>
      <c r="P147">
        <v>4</v>
      </c>
      <c r="Q147">
        <v>0</v>
      </c>
      <c r="R147">
        <v>3</v>
      </c>
    </row>
    <row r="148" spans="1:18" x14ac:dyDescent="0.3">
      <c r="A148">
        <v>147</v>
      </c>
      <c r="B148" t="s">
        <v>265</v>
      </c>
      <c r="C148" t="s">
        <v>266</v>
      </c>
      <c r="D148" t="str">
        <f>_xlfn.CONCAT(EmpTable[[#This Row],[First Name]],EmpTable[[#This Row],[Last Name]])</f>
        <v>BiaismTyzry</v>
      </c>
      <c r="E148" t="s">
        <v>307</v>
      </c>
      <c r="F148" s="1">
        <v>44071</v>
      </c>
      <c r="G148" s="2">
        <f ca="1">DATEDIF(EmpTable[[#This Row],[Start Date]],TODAY(),"Y")</f>
        <v>5</v>
      </c>
      <c r="H148" s="2" t="str" cm="1">
        <f t="array" aca="1" ref="H148" ca="1">_xlfn.IFS(G148&lt;=1,"Fresh",G148&lt;=3,"Junior",G148&lt;=7,"Teamlead",G148&gt;=7,"manger")</f>
        <v>Teamlead</v>
      </c>
      <c r="I148" t="s">
        <v>17</v>
      </c>
      <c r="J148" t="s">
        <v>48</v>
      </c>
      <c r="K148" t="s">
        <v>42</v>
      </c>
      <c r="L148">
        <v>1254</v>
      </c>
      <c r="M148">
        <v>15048</v>
      </c>
      <c r="N148">
        <v>5</v>
      </c>
      <c r="O148" t="str" cm="1">
        <f t="array" ref="O148">_xlfn.IFS(EmpTable[[#This Row],[Job Rate]] &lt;=1,"LOW",N148&lt;=2,"LOW",N148&lt;=3,"MEDIUM",N148&gt;4,"HIGH")</f>
        <v>HIGH</v>
      </c>
      <c r="P148">
        <v>0</v>
      </c>
      <c r="Q148">
        <v>0</v>
      </c>
      <c r="R148">
        <v>8</v>
      </c>
    </row>
    <row r="149" spans="1:18" x14ac:dyDescent="0.3">
      <c r="A149">
        <v>148</v>
      </c>
      <c r="B149" t="s">
        <v>20</v>
      </c>
      <c r="C149" t="s">
        <v>267</v>
      </c>
      <c r="D149" t="str">
        <f>_xlfn.CONCAT(EmpTable[[#This Row],[First Name]],EmpTable[[#This Row],[Last Name]])</f>
        <v>OmarMilatu</v>
      </c>
      <c r="E149" t="s">
        <v>32</v>
      </c>
      <c r="F149" s="1">
        <v>43173</v>
      </c>
      <c r="G149" s="2">
        <f ca="1">DATEDIF(EmpTable[[#This Row],[Start Date]],TODAY(),"Y")</f>
        <v>8</v>
      </c>
      <c r="H149" s="2" t="str" cm="1">
        <f t="array" aca="1" ref="H149" ca="1">_xlfn.IFS(G149&lt;=1,"Fresh",G149&lt;=3,"Junior",G149&lt;=7,"Teamlead",G149&gt;=7,"manger")</f>
        <v>manger</v>
      </c>
      <c r="I149" t="s">
        <v>28</v>
      </c>
      <c r="J149" t="s">
        <v>48</v>
      </c>
      <c r="K149" t="s">
        <v>42</v>
      </c>
      <c r="L149">
        <v>793</v>
      </c>
      <c r="M149">
        <v>9516</v>
      </c>
      <c r="N149">
        <v>5</v>
      </c>
      <c r="O149" t="str" cm="1">
        <f t="array" ref="O149">_xlfn.IFS(EmpTable[[#This Row],[Job Rate]] &lt;=1,"LOW",N149&lt;=2,"LOW",N149&lt;=3,"MEDIUM",N149&gt;4,"HIGH")</f>
        <v>HIGH</v>
      </c>
      <c r="P149">
        <v>6</v>
      </c>
      <c r="Q149">
        <v>0</v>
      </c>
      <c r="R149">
        <v>2</v>
      </c>
    </row>
    <row r="150" spans="1:18" x14ac:dyDescent="0.3">
      <c r="A150">
        <v>149</v>
      </c>
      <c r="B150" t="s">
        <v>268</v>
      </c>
      <c r="C150" t="s">
        <v>269</v>
      </c>
      <c r="D150" t="str">
        <f>_xlfn.CONCAT(EmpTable[[#This Row],[First Name]],EmpTable[[#This Row],[Last Name]])</f>
        <v>AlyidaNieamah</v>
      </c>
      <c r="E150" t="s">
        <v>307</v>
      </c>
      <c r="F150" s="1">
        <v>43007</v>
      </c>
      <c r="G150" s="2">
        <f ca="1">DATEDIF(EmpTable[[#This Row],[Start Date]],TODAY(),"Y")</f>
        <v>8</v>
      </c>
      <c r="H150" s="2" t="str" cm="1">
        <f t="array" aca="1" ref="H150" ca="1">_xlfn.IFS(G150&lt;=1,"Fresh",G150&lt;=3,"Junior",G150&lt;=7,"Teamlead",G150&gt;=7,"manger")</f>
        <v>manger</v>
      </c>
      <c r="I150" t="s">
        <v>118</v>
      </c>
      <c r="J150" t="s">
        <v>18</v>
      </c>
      <c r="K150" t="s">
        <v>19</v>
      </c>
      <c r="L150">
        <v>2416</v>
      </c>
      <c r="M150">
        <v>28992</v>
      </c>
      <c r="N150">
        <v>3</v>
      </c>
      <c r="O150" t="str" cm="1">
        <f t="array" ref="O150">_xlfn.IFS(EmpTable[[#This Row],[Job Rate]] &lt;=1,"LOW",N150&lt;=2,"LOW",N150&lt;=3,"MEDIUM",N150&gt;4,"HIGH")</f>
        <v>MEDIUM</v>
      </c>
      <c r="P150">
        <v>0</v>
      </c>
      <c r="Q150">
        <v>0</v>
      </c>
      <c r="R150">
        <v>2</v>
      </c>
    </row>
    <row r="151" spans="1:18" x14ac:dyDescent="0.3">
      <c r="A151">
        <v>150</v>
      </c>
      <c r="B151" t="s">
        <v>270</v>
      </c>
      <c r="C151" t="s">
        <v>271</v>
      </c>
      <c r="D151" t="str">
        <f>_xlfn.CONCAT(EmpTable[[#This Row],[First Name]],EmpTable[[#This Row],[Last Name]])</f>
        <v>KamalHajl</v>
      </c>
      <c r="E151" t="s">
        <v>32</v>
      </c>
      <c r="F151" s="1">
        <v>42773</v>
      </c>
      <c r="G151" s="2">
        <f ca="1">DATEDIF(EmpTable[[#This Row],[Start Date]],TODAY(),"Y")</f>
        <v>9</v>
      </c>
      <c r="H151" s="2" t="str" cm="1">
        <f t="array" aca="1" ref="H151" ca="1">_xlfn.IFS(G151&lt;=1,"Fresh",G151&lt;=3,"Junior",G151&lt;=7,"Teamlead",G151&gt;=7,"manger")</f>
        <v>manger</v>
      </c>
      <c r="I151" t="s">
        <v>53</v>
      </c>
      <c r="J151" t="s">
        <v>48</v>
      </c>
      <c r="K151" t="s">
        <v>36</v>
      </c>
      <c r="L151">
        <v>822</v>
      </c>
      <c r="M151">
        <v>9864</v>
      </c>
      <c r="N151">
        <v>5</v>
      </c>
      <c r="O151" t="str" cm="1">
        <f t="array" ref="O151">_xlfn.IFS(EmpTable[[#This Row],[Job Rate]] &lt;=1,"LOW",N151&lt;=2,"LOW",N151&lt;=3,"MEDIUM",N151&gt;4,"HIGH")</f>
        <v>HIGH</v>
      </c>
      <c r="P151">
        <v>6</v>
      </c>
      <c r="Q151">
        <v>0</v>
      </c>
      <c r="R151">
        <v>1</v>
      </c>
    </row>
    <row r="152" spans="1:18" x14ac:dyDescent="0.3">
      <c r="A152">
        <v>151</v>
      </c>
      <c r="B152" t="s">
        <v>272</v>
      </c>
      <c r="C152" t="s">
        <v>273</v>
      </c>
      <c r="D152" t="str">
        <f>_xlfn.CONCAT(EmpTable[[#This Row],[First Name]],EmpTable[[#This Row],[Last Name]])</f>
        <v>AmjadNaghnagh</v>
      </c>
      <c r="E152" t="s">
        <v>32</v>
      </c>
      <c r="F152" s="1">
        <v>44118</v>
      </c>
      <c r="G152" s="2">
        <f ca="1">DATEDIF(EmpTable[[#This Row],[Start Date]],TODAY(),"Y")</f>
        <v>5</v>
      </c>
      <c r="H152" s="2" t="str" cm="1">
        <f t="array" aca="1" ref="H152" ca="1">_xlfn.IFS(G152&lt;=1,"Fresh",G152&lt;=3,"Junior",G152&lt;=7,"Teamlead",G152&gt;=7,"manger")</f>
        <v>Teamlead</v>
      </c>
      <c r="I152" t="s">
        <v>28</v>
      </c>
      <c r="J152" t="s">
        <v>18</v>
      </c>
      <c r="K152" t="s">
        <v>60</v>
      </c>
      <c r="L152">
        <v>1442</v>
      </c>
      <c r="M152">
        <v>17304</v>
      </c>
      <c r="N152">
        <v>5</v>
      </c>
      <c r="O152" t="str" cm="1">
        <f t="array" ref="O152">_xlfn.IFS(EmpTable[[#This Row],[Job Rate]] &lt;=1,"LOW",N152&lt;=2,"LOW",N152&lt;=3,"MEDIUM",N152&gt;4,"HIGH")</f>
        <v>HIGH</v>
      </c>
      <c r="P152">
        <v>2</v>
      </c>
      <c r="Q152">
        <v>1</v>
      </c>
      <c r="R152">
        <v>23</v>
      </c>
    </row>
    <row r="153" spans="1:18" x14ac:dyDescent="0.3">
      <c r="A153">
        <v>152</v>
      </c>
      <c r="B153" t="s">
        <v>37</v>
      </c>
      <c r="C153" t="s">
        <v>274</v>
      </c>
      <c r="D153" t="str">
        <f>_xlfn.CONCAT(EmpTable[[#This Row],[First Name]],EmpTable[[#This Row],[Last Name]])</f>
        <v>IinQisi</v>
      </c>
      <c r="E153" t="s">
        <v>307</v>
      </c>
      <c r="F153" s="1">
        <v>43780</v>
      </c>
      <c r="G153" s="2">
        <f ca="1">DATEDIF(EmpTable[[#This Row],[Start Date]],TODAY(),"Y")</f>
        <v>6</v>
      </c>
      <c r="H153" s="2" t="str" cm="1">
        <f t="array" aca="1" ref="H153" ca="1">_xlfn.IFS(G153&lt;=1,"Fresh",G153&lt;=3,"Junior",G153&lt;=7,"Teamlead",G153&gt;=7,"manger")</f>
        <v>Teamlead</v>
      </c>
      <c r="I153" t="s">
        <v>50</v>
      </c>
      <c r="J153" t="s">
        <v>18</v>
      </c>
      <c r="K153" t="s">
        <v>19</v>
      </c>
      <c r="L153">
        <v>887</v>
      </c>
      <c r="M153">
        <v>10644</v>
      </c>
      <c r="N153">
        <v>4.5</v>
      </c>
      <c r="O153" t="str" cm="1">
        <f t="array" ref="O153">_xlfn.IFS(EmpTable[[#This Row],[Job Rate]] &lt;=1,"LOW",N153&lt;=2,"LOW",N153&lt;=3,"MEDIUM",N153&gt;4,"HIGH")</f>
        <v>HIGH</v>
      </c>
      <c r="P153">
        <v>0</v>
      </c>
      <c r="Q153">
        <v>0</v>
      </c>
      <c r="R153">
        <v>54</v>
      </c>
    </row>
    <row r="154" spans="1:18" x14ac:dyDescent="0.3">
      <c r="A154">
        <v>153</v>
      </c>
      <c r="B154" t="s">
        <v>275</v>
      </c>
      <c r="C154" t="s">
        <v>276</v>
      </c>
      <c r="D154" t="str">
        <f>_xlfn.CONCAT(EmpTable[[#This Row],[First Name]],EmpTable[[#This Row],[Last Name]])</f>
        <v>BasmahAlhabis</v>
      </c>
      <c r="E154" t="s">
        <v>307</v>
      </c>
      <c r="F154" s="1">
        <v>42792</v>
      </c>
      <c r="G154" s="2">
        <f ca="1">DATEDIF(EmpTable[[#This Row],[Start Date]],TODAY(),"Y")</f>
        <v>9</v>
      </c>
      <c r="H154" s="2" t="str" cm="1">
        <f t="array" aca="1" ref="H154" ca="1">_xlfn.IFS(G154&lt;=1,"Fresh",G154&lt;=3,"Junior",G154&lt;=7,"Teamlead",G154&gt;=7,"manger")</f>
        <v>manger</v>
      </c>
      <c r="I154" t="s">
        <v>28</v>
      </c>
      <c r="J154" t="s">
        <v>18</v>
      </c>
      <c r="K154" t="s">
        <v>36</v>
      </c>
      <c r="L154">
        <v>1671</v>
      </c>
      <c r="M154">
        <v>20052</v>
      </c>
      <c r="N154">
        <v>2</v>
      </c>
      <c r="O154" t="str" cm="1">
        <f t="array" ref="O154">_xlfn.IFS(EmpTable[[#This Row],[Job Rate]] &lt;=1,"LOW",N154&lt;=2,"LOW",N154&lt;=3,"MEDIUM",N154&gt;4,"HIGH")</f>
        <v>LOW</v>
      </c>
      <c r="P154">
        <v>0</v>
      </c>
      <c r="Q154">
        <v>0</v>
      </c>
      <c r="R154">
        <v>3</v>
      </c>
    </row>
    <row r="155" spans="1:18" x14ac:dyDescent="0.3">
      <c r="A155">
        <v>154</v>
      </c>
      <c r="B155" t="s">
        <v>89</v>
      </c>
      <c r="C155" t="s">
        <v>277</v>
      </c>
      <c r="D155" t="str">
        <f>_xlfn.CONCAT(EmpTable[[#This Row],[First Name]],EmpTable[[#This Row],[Last Name]])</f>
        <v>EalaDahbur</v>
      </c>
      <c r="E155" t="s">
        <v>307</v>
      </c>
      <c r="F155" s="1">
        <v>43551</v>
      </c>
      <c r="G155" s="2">
        <f ca="1">DATEDIF(EmpTable[[#This Row],[Start Date]],TODAY(),"Y")</f>
        <v>7</v>
      </c>
      <c r="H155" s="2" t="str" cm="1">
        <f t="array" aca="1" ref="H155" ca="1">_xlfn.IFS(G155&lt;=1,"Fresh",G155&lt;=3,"Junior",G155&lt;=7,"Teamlead",G155&gt;=7,"manger")</f>
        <v>Teamlead</v>
      </c>
      <c r="I155" t="s">
        <v>41</v>
      </c>
      <c r="J155" t="s">
        <v>29</v>
      </c>
      <c r="K155" t="s">
        <v>42</v>
      </c>
      <c r="L155">
        <v>1877</v>
      </c>
      <c r="M155">
        <v>22524</v>
      </c>
      <c r="N155">
        <v>4.5</v>
      </c>
      <c r="O155" t="str" cm="1">
        <f t="array" ref="O155">_xlfn.IFS(EmpTable[[#This Row],[Job Rate]] &lt;=1,"LOW",N155&lt;=2,"LOW",N155&lt;=3,"MEDIUM",N155&gt;4,"HIGH")</f>
        <v>HIGH</v>
      </c>
      <c r="P155">
        <v>1</v>
      </c>
      <c r="Q155">
        <v>0</v>
      </c>
      <c r="R155">
        <v>0</v>
      </c>
    </row>
    <row r="156" spans="1:18" x14ac:dyDescent="0.3">
      <c r="A156">
        <v>155</v>
      </c>
      <c r="B156" t="s">
        <v>278</v>
      </c>
      <c r="C156" t="s">
        <v>279</v>
      </c>
      <c r="D156" t="str">
        <f>_xlfn.CONCAT(EmpTable[[#This Row],[First Name]],EmpTable[[#This Row],[Last Name]])</f>
        <v>RwbynaIibrahim</v>
      </c>
      <c r="E156" t="s">
        <v>307</v>
      </c>
      <c r="F156" s="1">
        <v>43529</v>
      </c>
      <c r="G156" s="2">
        <f ca="1">DATEDIF(EmpTable[[#This Row],[Start Date]],TODAY(),"Y")</f>
        <v>7</v>
      </c>
      <c r="H156" s="2" t="str" cm="1">
        <f t="array" aca="1" ref="H156" ca="1">_xlfn.IFS(G156&lt;=1,"Fresh",G156&lt;=3,"Junior",G156&lt;=7,"Teamlead",G156&gt;=7,"manger")</f>
        <v>Teamlead</v>
      </c>
      <c r="I156" t="s">
        <v>50</v>
      </c>
      <c r="J156" t="s">
        <v>29</v>
      </c>
      <c r="K156" t="s">
        <v>36</v>
      </c>
      <c r="L156">
        <v>1960</v>
      </c>
      <c r="M156">
        <v>23520</v>
      </c>
      <c r="N156">
        <v>2</v>
      </c>
      <c r="O156" t="str" cm="1">
        <f t="array" ref="O156">_xlfn.IFS(EmpTable[[#This Row],[Job Rate]] &lt;=1,"LOW",N156&lt;=2,"LOW",N156&lt;=3,"MEDIUM",N156&gt;4,"HIGH")</f>
        <v>LOW</v>
      </c>
      <c r="P156">
        <v>0</v>
      </c>
      <c r="Q156">
        <v>0</v>
      </c>
      <c r="R156">
        <v>8</v>
      </c>
    </row>
    <row r="157" spans="1:18" x14ac:dyDescent="0.3">
      <c r="A157">
        <v>156</v>
      </c>
      <c r="B157" t="s">
        <v>195</v>
      </c>
      <c r="C157" t="s">
        <v>66</v>
      </c>
      <c r="D157" t="str">
        <f>_xlfn.CONCAT(EmpTable[[#This Row],[First Name]],EmpTable[[#This Row],[Last Name]])</f>
        <v>TariqSalim</v>
      </c>
      <c r="E157" t="s">
        <v>32</v>
      </c>
      <c r="F157" s="1">
        <v>43300</v>
      </c>
      <c r="G157" s="2">
        <f ca="1">DATEDIF(EmpTable[[#This Row],[Start Date]],TODAY(),"Y")</f>
        <v>7</v>
      </c>
      <c r="H157" s="2" t="str" cm="1">
        <f t="array" aca="1" ref="H157" ca="1">_xlfn.IFS(G157&lt;=1,"Fresh",G157&lt;=3,"Junior",G157&lt;=7,"Teamlead",G157&gt;=7,"manger")</f>
        <v>Teamlead</v>
      </c>
      <c r="I157" t="s">
        <v>28</v>
      </c>
      <c r="J157" t="s">
        <v>29</v>
      </c>
      <c r="K157" t="s">
        <v>42</v>
      </c>
      <c r="L157">
        <v>2422</v>
      </c>
      <c r="M157">
        <v>29064</v>
      </c>
      <c r="N157">
        <v>4.5</v>
      </c>
      <c r="O157" t="str" cm="1">
        <f t="array" ref="O157">_xlfn.IFS(EmpTable[[#This Row],[Job Rate]] &lt;=1,"LOW",N157&lt;=2,"LOW",N157&lt;=3,"MEDIUM",N157&gt;4,"HIGH")</f>
        <v>HIGH</v>
      </c>
      <c r="P157">
        <v>0</v>
      </c>
      <c r="Q157">
        <v>2</v>
      </c>
      <c r="R157">
        <v>10</v>
      </c>
    </row>
    <row r="158" spans="1:18" x14ac:dyDescent="0.3">
      <c r="A158">
        <v>157</v>
      </c>
      <c r="B158" t="s">
        <v>280</v>
      </c>
      <c r="C158" t="s">
        <v>281</v>
      </c>
      <c r="D158" t="str">
        <f>_xlfn.CONCAT(EmpTable[[#This Row],[First Name]],EmpTable[[#This Row],[Last Name]])</f>
        <v>BasimahSybea</v>
      </c>
      <c r="E158" t="s">
        <v>307</v>
      </c>
      <c r="F158" s="1">
        <v>43683</v>
      </c>
      <c r="G158" s="2">
        <f ca="1">DATEDIF(EmpTable[[#This Row],[Start Date]],TODAY(),"Y")</f>
        <v>6</v>
      </c>
      <c r="H158" s="2" t="str" cm="1">
        <f t="array" aca="1" ref="H158" ca="1">_xlfn.IFS(G158&lt;=1,"Fresh",G158&lt;=3,"Junior",G158&lt;=7,"Teamlead",G158&gt;=7,"manger")</f>
        <v>Teamlead</v>
      </c>
      <c r="I158" t="s">
        <v>28</v>
      </c>
      <c r="J158" t="s">
        <v>22</v>
      </c>
      <c r="K158" t="s">
        <v>42</v>
      </c>
      <c r="L158">
        <v>1299</v>
      </c>
      <c r="M158">
        <v>15588</v>
      </c>
      <c r="N158">
        <v>5</v>
      </c>
      <c r="O158" t="str" cm="1">
        <f t="array" ref="O158">_xlfn.IFS(EmpTable[[#This Row],[Job Rate]] &lt;=1,"LOW",N158&lt;=2,"LOW",N158&lt;=3,"MEDIUM",N158&gt;4,"HIGH")</f>
        <v>HIGH</v>
      </c>
      <c r="P158">
        <v>0</v>
      </c>
      <c r="Q158">
        <v>0</v>
      </c>
      <c r="R158">
        <v>8</v>
      </c>
    </row>
    <row r="159" spans="1:18" x14ac:dyDescent="0.3">
      <c r="A159">
        <v>158</v>
      </c>
      <c r="B159" t="s">
        <v>282</v>
      </c>
      <c r="C159" t="s">
        <v>283</v>
      </c>
      <c r="D159" t="str">
        <f>_xlfn.CONCAT(EmpTable[[#This Row],[First Name]],EmpTable[[#This Row],[Last Name]])</f>
        <v>ZunarEali</v>
      </c>
      <c r="E159" t="s">
        <v>32</v>
      </c>
      <c r="F159" s="1">
        <v>43908</v>
      </c>
      <c r="G159" s="2">
        <f ca="1">DATEDIF(EmpTable[[#This Row],[Start Date]],TODAY(),"Y")</f>
        <v>6</v>
      </c>
      <c r="H159" s="2" t="str" cm="1">
        <f t="array" aca="1" ref="H159" ca="1">_xlfn.IFS(G159&lt;=1,"Fresh",G159&lt;=3,"Junior",G159&lt;=7,"Teamlead",G159&gt;=7,"manger")</f>
        <v>Teamlead</v>
      </c>
      <c r="I159" t="s">
        <v>25</v>
      </c>
      <c r="J159" t="s">
        <v>18</v>
      </c>
      <c r="K159" t="s">
        <v>60</v>
      </c>
      <c r="L159">
        <v>2127</v>
      </c>
      <c r="M159">
        <v>25524</v>
      </c>
      <c r="N159">
        <v>5</v>
      </c>
      <c r="O159" t="str" cm="1">
        <f t="array" ref="O159">_xlfn.IFS(EmpTable[[#This Row],[Job Rate]] &lt;=1,"LOW",N159&lt;=2,"LOW",N159&lt;=3,"MEDIUM",N159&gt;4,"HIGH")</f>
        <v>HIGH</v>
      </c>
      <c r="P159">
        <v>0</v>
      </c>
      <c r="Q159">
        <v>0</v>
      </c>
      <c r="R159">
        <v>3</v>
      </c>
    </row>
    <row r="160" spans="1:18" x14ac:dyDescent="0.3">
      <c r="A160">
        <v>159</v>
      </c>
      <c r="B160" t="s">
        <v>121</v>
      </c>
      <c r="C160" t="s">
        <v>284</v>
      </c>
      <c r="D160" t="str">
        <f>_xlfn.CONCAT(EmpTable[[#This Row],[First Name]],EmpTable[[#This Row],[Last Name]])</f>
        <v>RimMia</v>
      </c>
      <c r="E160" t="s">
        <v>307</v>
      </c>
      <c r="F160" s="1">
        <v>43653</v>
      </c>
      <c r="G160" s="2">
        <f ca="1">DATEDIF(EmpTable[[#This Row],[Start Date]],TODAY(),"Y")</f>
        <v>6</v>
      </c>
      <c r="H160" s="2" t="str" cm="1">
        <f t="array" aca="1" ref="H160" ca="1">_xlfn.IFS(G160&lt;=1,"Fresh",G160&lt;=3,"Junior",G160&lt;=7,"Teamlead",G160&gt;=7,"manger")</f>
        <v>Teamlead</v>
      </c>
      <c r="I160" t="s">
        <v>17</v>
      </c>
      <c r="J160" t="s">
        <v>18</v>
      </c>
      <c r="K160" t="s">
        <v>36</v>
      </c>
      <c r="L160">
        <v>3096</v>
      </c>
      <c r="M160">
        <v>37152</v>
      </c>
      <c r="N160">
        <v>2</v>
      </c>
      <c r="O160" t="str" cm="1">
        <f t="array" ref="O160">_xlfn.IFS(EmpTable[[#This Row],[Job Rate]] &lt;=1,"LOW",N160&lt;=2,"LOW",N160&lt;=3,"MEDIUM",N160&gt;4,"HIGH")</f>
        <v>LOW</v>
      </c>
      <c r="P160">
        <v>5</v>
      </c>
      <c r="Q160">
        <v>0</v>
      </c>
      <c r="R160">
        <v>9</v>
      </c>
    </row>
    <row r="161" spans="1:18" x14ac:dyDescent="0.3">
      <c r="A161">
        <v>160</v>
      </c>
      <c r="B161" t="s">
        <v>285</v>
      </c>
      <c r="C161" t="s">
        <v>286</v>
      </c>
      <c r="D161" t="str">
        <f>_xlfn.CONCAT(EmpTable[[#This Row],[First Name]],EmpTable[[#This Row],[Last Name]])</f>
        <v>LanaAlhabash</v>
      </c>
      <c r="E161" t="s">
        <v>307</v>
      </c>
      <c r="F161" s="1">
        <v>42405</v>
      </c>
      <c r="G161" s="2">
        <f ca="1">DATEDIF(EmpTable[[#This Row],[Start Date]],TODAY(),"Y")</f>
        <v>10</v>
      </c>
      <c r="H161" s="2" t="str" cm="1">
        <f t="array" aca="1" ref="H161" ca="1">_xlfn.IFS(G161&lt;=1,"Fresh",G161&lt;=3,"Junior",G161&lt;=7,"Teamlead",G161&gt;=7,"manger")</f>
        <v>manger</v>
      </c>
      <c r="I161" t="s">
        <v>28</v>
      </c>
      <c r="J161" t="s">
        <v>18</v>
      </c>
      <c r="K161" t="s">
        <v>19</v>
      </c>
      <c r="L161">
        <v>951</v>
      </c>
      <c r="M161">
        <v>11412</v>
      </c>
      <c r="N161">
        <v>1</v>
      </c>
      <c r="O161" t="str" cm="1">
        <f t="array" ref="O161">_xlfn.IFS(EmpTable[[#This Row],[Job Rate]] &lt;=1,"LOW",N161&lt;=2,"LOW",N161&lt;=3,"MEDIUM",N161&gt;4,"HIGH")</f>
        <v>LOW</v>
      </c>
      <c r="P161">
        <v>6</v>
      </c>
      <c r="Q161">
        <v>0</v>
      </c>
      <c r="R161">
        <v>8</v>
      </c>
    </row>
    <row r="162" spans="1:18" x14ac:dyDescent="0.3">
      <c r="A162">
        <v>161</v>
      </c>
      <c r="B162" t="s">
        <v>33</v>
      </c>
      <c r="C162" t="s">
        <v>287</v>
      </c>
      <c r="D162" t="str">
        <f>_xlfn.CONCAT(EmpTable[[#This Row],[First Name]],EmpTable[[#This Row],[Last Name]])</f>
        <v>MuhamadAlshghry</v>
      </c>
      <c r="E162" t="s">
        <v>32</v>
      </c>
      <c r="F162" s="1">
        <v>43967</v>
      </c>
      <c r="G162" s="2">
        <f ca="1">DATEDIF(EmpTable[[#This Row],[Start Date]],TODAY(),"Y")</f>
        <v>5</v>
      </c>
      <c r="H162" s="2" t="str" cm="1">
        <f t="array" aca="1" ref="H162" ca="1">_xlfn.IFS(G162&lt;=1,"Fresh",G162&lt;=3,"Junior",G162&lt;=7,"Teamlead",G162&gt;=7,"manger")</f>
        <v>Teamlead</v>
      </c>
      <c r="I162" t="s">
        <v>28</v>
      </c>
      <c r="J162" t="s">
        <v>18</v>
      </c>
      <c r="K162" t="s">
        <v>36</v>
      </c>
      <c r="L162">
        <v>2940</v>
      </c>
      <c r="M162">
        <v>35280</v>
      </c>
      <c r="N162">
        <v>1</v>
      </c>
      <c r="O162" t="str" cm="1">
        <f t="array" ref="O162">_xlfn.IFS(EmpTable[[#This Row],[Job Rate]] &lt;=1,"LOW",N162&lt;=2,"LOW",N162&lt;=3,"MEDIUM",N162&gt;4,"HIGH")</f>
        <v>LOW</v>
      </c>
      <c r="P162">
        <v>6</v>
      </c>
      <c r="Q162">
        <v>0</v>
      </c>
      <c r="R162">
        <v>13</v>
      </c>
    </row>
    <row r="163" spans="1:18" x14ac:dyDescent="0.3">
      <c r="A163">
        <v>162</v>
      </c>
      <c r="B163" t="s">
        <v>288</v>
      </c>
      <c r="C163" t="s">
        <v>289</v>
      </c>
      <c r="D163" t="str">
        <f>_xlfn.CONCAT(EmpTable[[#This Row],[First Name]],EmpTable[[#This Row],[Last Name]])</f>
        <v>GhazalHisan</v>
      </c>
      <c r="E163" t="s">
        <v>307</v>
      </c>
      <c r="F163" s="1">
        <v>44102</v>
      </c>
      <c r="G163" s="2">
        <f ca="1">DATEDIF(EmpTable[[#This Row],[Start Date]],TODAY(),"Y")</f>
        <v>5</v>
      </c>
      <c r="H163" s="2" t="str" cm="1">
        <f t="array" aca="1" ref="H163" ca="1">_xlfn.IFS(G163&lt;=1,"Fresh",G163&lt;=3,"Junior",G163&lt;=7,"Teamlead",G163&gt;=7,"manger")</f>
        <v>Teamlead</v>
      </c>
      <c r="I163" t="s">
        <v>53</v>
      </c>
      <c r="J163" t="s">
        <v>22</v>
      </c>
      <c r="K163" t="s">
        <v>42</v>
      </c>
      <c r="L163">
        <v>3293</v>
      </c>
      <c r="M163">
        <v>39516</v>
      </c>
      <c r="N163">
        <v>4.5</v>
      </c>
      <c r="O163" t="str" cm="1">
        <f t="array" ref="O163">_xlfn.IFS(EmpTable[[#This Row],[Job Rate]] &lt;=1,"LOW",N163&lt;=2,"LOW",N163&lt;=3,"MEDIUM",N163&gt;4,"HIGH")</f>
        <v>HIGH</v>
      </c>
      <c r="P163">
        <v>1</v>
      </c>
      <c r="Q163">
        <v>6</v>
      </c>
      <c r="R163">
        <v>9</v>
      </c>
    </row>
    <row r="164" spans="1:18" x14ac:dyDescent="0.3">
      <c r="A164">
        <v>163</v>
      </c>
      <c r="B164" t="s">
        <v>290</v>
      </c>
      <c r="C164" t="s">
        <v>291</v>
      </c>
      <c r="D164" t="str">
        <f>_xlfn.CONCAT(EmpTable[[#This Row],[First Name]],EmpTable[[#This Row],[Last Name]])</f>
        <v>KhalilAlzaebii</v>
      </c>
      <c r="E164" t="s">
        <v>32</v>
      </c>
      <c r="F164" s="1">
        <v>42840</v>
      </c>
      <c r="G164" s="2">
        <f ca="1">DATEDIF(EmpTable[[#This Row],[Start Date]],TODAY(),"Y")</f>
        <v>8</v>
      </c>
      <c r="H164" s="2" t="str" cm="1">
        <f t="array" aca="1" ref="H164" ca="1">_xlfn.IFS(G164&lt;=1,"Fresh",G164&lt;=3,"Junior",G164&lt;=7,"Teamlead",G164&gt;=7,"manger")</f>
        <v>manger</v>
      </c>
      <c r="I164" t="s">
        <v>58</v>
      </c>
      <c r="J164" t="s">
        <v>29</v>
      </c>
      <c r="K164" t="s">
        <v>36</v>
      </c>
      <c r="L164">
        <v>3250</v>
      </c>
      <c r="M164">
        <v>39000</v>
      </c>
      <c r="N164">
        <v>2</v>
      </c>
      <c r="O164" t="str" cm="1">
        <f t="array" ref="O164">_xlfn.IFS(EmpTable[[#This Row],[Job Rate]] &lt;=1,"LOW",N164&lt;=2,"LOW",N164&lt;=3,"MEDIUM",N164&gt;4,"HIGH")</f>
        <v>LOW</v>
      </c>
      <c r="P164">
        <v>1</v>
      </c>
      <c r="Q164">
        <v>0</v>
      </c>
      <c r="R164">
        <v>8</v>
      </c>
    </row>
    <row r="165" spans="1:18" x14ac:dyDescent="0.3">
      <c r="A165">
        <v>164</v>
      </c>
      <c r="B165" t="s">
        <v>69</v>
      </c>
      <c r="C165" t="s">
        <v>292</v>
      </c>
      <c r="D165" t="str">
        <f>_xlfn.CONCAT(EmpTable[[#This Row],[First Name]],EmpTable[[#This Row],[Last Name]])</f>
        <v>SamirShalish</v>
      </c>
      <c r="E165" t="s">
        <v>32</v>
      </c>
      <c r="F165" s="1">
        <v>43385</v>
      </c>
      <c r="G165" s="2">
        <f ca="1">DATEDIF(EmpTable[[#This Row],[Start Date]],TODAY(),"Y")</f>
        <v>7</v>
      </c>
      <c r="H165" s="2" t="str" cm="1">
        <f t="array" aca="1" ref="H165" ca="1">_xlfn.IFS(G165&lt;=1,"Fresh",G165&lt;=3,"Junior",G165&lt;=7,"Teamlead",G165&gt;=7,"manger")</f>
        <v>Teamlead</v>
      </c>
      <c r="I165" t="s">
        <v>41</v>
      </c>
      <c r="J165" t="s">
        <v>18</v>
      </c>
      <c r="K165" t="s">
        <v>42</v>
      </c>
      <c r="L165">
        <v>2085</v>
      </c>
      <c r="M165">
        <v>25020</v>
      </c>
      <c r="N165">
        <v>3</v>
      </c>
      <c r="O165" t="str" cm="1">
        <f t="array" ref="O165">_xlfn.IFS(EmpTable[[#This Row],[Job Rate]] &lt;=1,"LOW",N165&lt;=2,"LOW",N165&lt;=3,"MEDIUM",N165&gt;4,"HIGH")</f>
        <v>MEDIUM</v>
      </c>
      <c r="P165">
        <v>1</v>
      </c>
      <c r="Q165">
        <v>0</v>
      </c>
      <c r="R165">
        <v>9</v>
      </c>
    </row>
    <row r="166" spans="1:18" x14ac:dyDescent="0.3">
      <c r="A166">
        <v>165</v>
      </c>
      <c r="B166" t="s">
        <v>293</v>
      </c>
      <c r="C166" t="s">
        <v>30</v>
      </c>
      <c r="D166" t="str">
        <f>_xlfn.CONCAT(EmpTable[[#This Row],[First Name]],EmpTable[[#This Row],[Last Name]])</f>
        <v>AbdalmjidAhmad</v>
      </c>
      <c r="E166" t="s">
        <v>32</v>
      </c>
      <c r="F166" s="1">
        <v>43638</v>
      </c>
      <c r="G166" s="2">
        <f ca="1">DATEDIF(EmpTable[[#This Row],[Start Date]],TODAY(),"Y")</f>
        <v>6</v>
      </c>
      <c r="H166" s="2" t="str" cm="1">
        <f t="array" aca="1" ref="H166" ca="1">_xlfn.IFS(G166&lt;=1,"Fresh",G166&lt;=3,"Junior",G166&lt;=7,"Teamlead",G166&gt;=7,"manger")</f>
        <v>Teamlead</v>
      </c>
      <c r="I166" t="s">
        <v>28</v>
      </c>
      <c r="J166" t="s">
        <v>294</v>
      </c>
      <c r="K166" t="s">
        <v>42</v>
      </c>
      <c r="L166">
        <v>1578</v>
      </c>
      <c r="M166">
        <v>18936</v>
      </c>
      <c r="N166">
        <v>3</v>
      </c>
      <c r="O166" t="str" cm="1">
        <f t="array" ref="O166">_xlfn.IFS(EmpTable[[#This Row],[Job Rate]] &lt;=1,"LOW",N166&lt;=2,"LOW",N166&lt;=3,"MEDIUM",N166&gt;4,"HIGH")</f>
        <v>MEDIUM</v>
      </c>
      <c r="P166">
        <v>0</v>
      </c>
      <c r="Q166">
        <v>0</v>
      </c>
      <c r="R166">
        <v>15</v>
      </c>
    </row>
    <row r="167" spans="1:18" x14ac:dyDescent="0.3">
      <c r="A167">
        <v>166</v>
      </c>
      <c r="B167" t="s">
        <v>295</v>
      </c>
      <c r="C167" t="s">
        <v>296</v>
      </c>
      <c r="D167" t="str">
        <f>_xlfn.CONCAT(EmpTable[[#This Row],[First Name]],EmpTable[[#This Row],[Last Name]])</f>
        <v>EmarAbil</v>
      </c>
      <c r="E167" t="s">
        <v>307</v>
      </c>
      <c r="F167" s="1">
        <v>43725</v>
      </c>
      <c r="G167" s="2">
        <f ca="1">DATEDIF(EmpTable[[#This Row],[Start Date]],TODAY(),"Y")</f>
        <v>6</v>
      </c>
      <c r="H167" s="2" t="str" cm="1">
        <f t="array" aca="1" ref="H167" ca="1">_xlfn.IFS(G167&lt;=1,"Fresh",G167&lt;=3,"Junior",G167&lt;=7,"Teamlead",G167&gt;=7,"manger")</f>
        <v>Teamlead</v>
      </c>
      <c r="I167" t="s">
        <v>41</v>
      </c>
      <c r="J167" t="s">
        <v>29</v>
      </c>
      <c r="K167" t="s">
        <v>42</v>
      </c>
      <c r="L167">
        <v>1169</v>
      </c>
      <c r="M167">
        <v>14028</v>
      </c>
      <c r="N167">
        <v>3</v>
      </c>
      <c r="O167" t="str" cm="1">
        <f t="array" ref="O167">_xlfn.IFS(EmpTable[[#This Row],[Job Rate]] &lt;=1,"LOW",N167&lt;=2,"LOW",N167&lt;=3,"MEDIUM",N167&gt;4,"HIGH")</f>
        <v>MEDIUM</v>
      </c>
      <c r="P167">
        <v>1</v>
      </c>
      <c r="Q167">
        <v>0</v>
      </c>
      <c r="R167">
        <v>10</v>
      </c>
    </row>
    <row r="168" spans="1:18" x14ac:dyDescent="0.3">
      <c r="A168">
        <v>167</v>
      </c>
      <c r="B168" t="s">
        <v>297</v>
      </c>
      <c r="C168" t="s">
        <v>298</v>
      </c>
      <c r="D168" t="str">
        <f>_xlfn.CONCAT(EmpTable[[#This Row],[First Name]],EmpTable[[#This Row],[Last Name]])</f>
        <v>LamiaWarur</v>
      </c>
      <c r="E168" t="s">
        <v>307</v>
      </c>
      <c r="F168" s="1">
        <v>42927</v>
      </c>
      <c r="G168" s="2">
        <f ca="1">DATEDIF(EmpTable[[#This Row],[Start Date]],TODAY(),"Y")</f>
        <v>8</v>
      </c>
      <c r="H168" s="2" t="str" cm="1">
        <f t="array" aca="1" ref="H168" ca="1">_xlfn.IFS(G168&lt;=1,"Fresh",G168&lt;=3,"Junior",G168&lt;=7,"Teamlead",G168&gt;=7,"manger")</f>
        <v>manger</v>
      </c>
      <c r="I168" t="s">
        <v>41</v>
      </c>
      <c r="J168" t="s">
        <v>22</v>
      </c>
      <c r="K168" t="s">
        <v>60</v>
      </c>
      <c r="L168">
        <v>1054</v>
      </c>
      <c r="M168">
        <v>12648</v>
      </c>
      <c r="N168">
        <v>5</v>
      </c>
      <c r="O168" t="str" cm="1">
        <f t="array" ref="O168">_xlfn.IFS(EmpTable[[#This Row],[Job Rate]] &lt;=1,"LOW",N168&lt;=2,"LOW",N168&lt;=3,"MEDIUM",N168&gt;4,"HIGH")</f>
        <v>HIGH</v>
      </c>
      <c r="P168">
        <v>4</v>
      </c>
      <c r="Q168">
        <v>6</v>
      </c>
      <c r="R168">
        <v>7</v>
      </c>
    </row>
    <row r="169" spans="1:18" x14ac:dyDescent="0.3">
      <c r="A169">
        <v>168</v>
      </c>
      <c r="B169" t="s">
        <v>299</v>
      </c>
      <c r="C169" t="s">
        <v>80</v>
      </c>
      <c r="D169" t="str">
        <f>_xlfn.CONCAT(EmpTable[[#This Row],[First Name]],EmpTable[[#This Row],[Last Name]])</f>
        <v>FyfianAbu</v>
      </c>
      <c r="E169" t="s">
        <v>307</v>
      </c>
      <c r="F169" s="1">
        <v>43680</v>
      </c>
      <c r="G169" s="2">
        <f ca="1">DATEDIF(EmpTable[[#This Row],[Start Date]],TODAY(),"Y")</f>
        <v>6</v>
      </c>
      <c r="H169" s="2" t="str" cm="1">
        <f t="array" aca="1" ref="H169" ca="1">_xlfn.IFS(G169&lt;=1,"Fresh",G169&lt;=3,"Junior",G169&lt;=7,"Teamlead",G169&gt;=7,"manger")</f>
        <v>Teamlead</v>
      </c>
      <c r="I169" t="s">
        <v>41</v>
      </c>
      <c r="J169" t="s">
        <v>18</v>
      </c>
      <c r="K169" t="s">
        <v>42</v>
      </c>
      <c r="L169">
        <v>1349</v>
      </c>
      <c r="M169">
        <v>16188</v>
      </c>
      <c r="N169">
        <v>4.5</v>
      </c>
      <c r="O169" t="str" cm="1">
        <f t="array" ref="O169">_xlfn.IFS(EmpTable[[#This Row],[Job Rate]] &lt;=1,"LOW",N169&lt;=2,"LOW",N169&lt;=3,"MEDIUM",N169&gt;4,"HIGH")</f>
        <v>HIGH</v>
      </c>
      <c r="P169">
        <v>1</v>
      </c>
      <c r="Q169">
        <v>0</v>
      </c>
      <c r="R169">
        <v>4</v>
      </c>
    </row>
    <row r="170" spans="1:18" x14ac:dyDescent="0.3">
      <c r="A170">
        <v>169</v>
      </c>
      <c r="B170" t="s">
        <v>300</v>
      </c>
      <c r="C170" t="s">
        <v>301</v>
      </c>
      <c r="D170" t="str">
        <f>_xlfn.CONCAT(EmpTable[[#This Row],[First Name]],EmpTable[[#This Row],[Last Name]])</f>
        <v>MajdYasin</v>
      </c>
      <c r="E170" t="s">
        <v>307</v>
      </c>
      <c r="F170" s="1">
        <v>43571</v>
      </c>
      <c r="G170" s="2">
        <f ca="1">DATEDIF(EmpTable[[#This Row],[Start Date]],TODAY(),"Y")</f>
        <v>6</v>
      </c>
      <c r="H170" s="2" t="str" cm="1">
        <f t="array" aca="1" ref="H170" ca="1">_xlfn.IFS(G170&lt;=1,"Fresh",G170&lt;=3,"Junior",G170&lt;=7,"Teamlead",G170&gt;=7,"manger")</f>
        <v>Teamlead</v>
      </c>
      <c r="I170" t="s">
        <v>17</v>
      </c>
      <c r="J170" t="s">
        <v>29</v>
      </c>
      <c r="K170" t="s">
        <v>60</v>
      </c>
      <c r="L170">
        <v>2196</v>
      </c>
      <c r="M170">
        <v>26352</v>
      </c>
      <c r="N170">
        <v>5</v>
      </c>
      <c r="O170" t="str" cm="1">
        <f t="array" ref="O170">_xlfn.IFS(EmpTable[[#This Row],[Job Rate]] &lt;=1,"LOW",N170&lt;=2,"LOW",N170&lt;=3,"MEDIUM",N170&gt;4,"HIGH")</f>
        <v>HIGH</v>
      </c>
      <c r="P170">
        <v>4</v>
      </c>
      <c r="Q170">
        <v>0</v>
      </c>
      <c r="R170">
        <v>9</v>
      </c>
    </row>
    <row r="171" spans="1:18" x14ac:dyDescent="0.3">
      <c r="A171">
        <v>170</v>
      </c>
      <c r="B171" t="s">
        <v>59</v>
      </c>
      <c r="C171" t="s">
        <v>142</v>
      </c>
      <c r="D171" t="str">
        <f>_xlfn.CONCAT(EmpTable[[#This Row],[First Name]],EmpTable[[#This Row],[Last Name]])</f>
        <v>AlaaAlmisri</v>
      </c>
      <c r="E171" t="s">
        <v>307</v>
      </c>
      <c r="F171" s="1">
        <v>43846</v>
      </c>
      <c r="G171" s="2">
        <f ca="1">DATEDIF(EmpTable[[#This Row],[Start Date]],TODAY(),"Y")</f>
        <v>6</v>
      </c>
      <c r="H171" s="2" t="str" cm="1">
        <f t="array" aca="1" ref="H171" ca="1">_xlfn.IFS(G171&lt;=1,"Fresh",G171&lt;=3,"Junior",G171&lt;=7,"Teamlead",G171&gt;=7,"manger")</f>
        <v>Teamlead</v>
      </c>
      <c r="I171" t="s">
        <v>77</v>
      </c>
      <c r="J171" t="s">
        <v>18</v>
      </c>
      <c r="K171" t="s">
        <v>42</v>
      </c>
      <c r="L171">
        <v>3264</v>
      </c>
      <c r="M171">
        <v>39168</v>
      </c>
      <c r="N171">
        <v>5</v>
      </c>
      <c r="O171" t="str" cm="1">
        <f t="array" ref="O171">_xlfn.IFS(EmpTable[[#This Row],[Job Rate]] &lt;=1,"LOW",N171&lt;=2,"LOW",N171&lt;=3,"MEDIUM",N171&gt;4,"HIGH")</f>
        <v>HIGH</v>
      </c>
      <c r="P171">
        <v>6</v>
      </c>
      <c r="Q171">
        <v>5</v>
      </c>
      <c r="R171">
        <v>4</v>
      </c>
    </row>
    <row r="172" spans="1:18" x14ac:dyDescent="0.3">
      <c r="A172">
        <v>171</v>
      </c>
      <c r="B172" t="s">
        <v>33</v>
      </c>
      <c r="C172" t="s">
        <v>302</v>
      </c>
      <c r="D172" t="str">
        <f>_xlfn.CONCAT(EmpTable[[#This Row],[First Name]],EmpTable[[#This Row],[Last Name]])</f>
        <v>MuhamadAmir</v>
      </c>
      <c r="E172" t="s">
        <v>32</v>
      </c>
      <c r="F172" s="1">
        <v>42942</v>
      </c>
      <c r="G172" s="2">
        <f ca="1">DATEDIF(EmpTable[[#This Row],[Start Date]],TODAY(),"Y")</f>
        <v>8</v>
      </c>
      <c r="H172" s="2" t="str" cm="1">
        <f t="array" aca="1" ref="H172" ca="1">_xlfn.IFS(G172&lt;=1,"Fresh",G172&lt;=3,"Junior",G172&lt;=7,"Teamlead",G172&gt;=7,"manger")</f>
        <v>manger</v>
      </c>
      <c r="I172" t="s">
        <v>17</v>
      </c>
      <c r="J172" t="s">
        <v>29</v>
      </c>
      <c r="K172" t="s">
        <v>36</v>
      </c>
      <c r="L172">
        <v>1232</v>
      </c>
      <c r="M172">
        <v>14784</v>
      </c>
      <c r="N172">
        <v>5</v>
      </c>
      <c r="O172" t="str" cm="1">
        <f t="array" ref="O172">_xlfn.IFS(EmpTable[[#This Row],[Job Rate]] &lt;=1,"LOW",N172&lt;=2,"LOW",N172&lt;=3,"MEDIUM",N172&gt;4,"HIGH")</f>
        <v>HIGH</v>
      </c>
      <c r="P172">
        <v>4</v>
      </c>
      <c r="Q172">
        <v>5</v>
      </c>
      <c r="R172">
        <v>2</v>
      </c>
    </row>
    <row r="173" spans="1:18" x14ac:dyDescent="0.3">
      <c r="A173">
        <v>172</v>
      </c>
      <c r="B173" t="s">
        <v>303</v>
      </c>
      <c r="C173" t="s">
        <v>304</v>
      </c>
      <c r="D173" t="str">
        <f>_xlfn.CONCAT(EmpTable[[#This Row],[First Name]],EmpTable[[#This Row],[Last Name]])</f>
        <v>LilasBalatah</v>
      </c>
      <c r="E173" t="s">
        <v>307</v>
      </c>
      <c r="F173" s="1">
        <v>43787</v>
      </c>
      <c r="G173" s="2">
        <f ca="1">DATEDIF(EmpTable[[#This Row],[Start Date]],TODAY(),"Y")</f>
        <v>6</v>
      </c>
      <c r="H173" s="2" t="str" cm="1">
        <f t="array" aca="1" ref="H173" ca="1">_xlfn.IFS(G173&lt;=1,"Fresh",G173&lt;=3,"Junior",G173&lt;=7,"Teamlead",G173&gt;=7,"manger")</f>
        <v>Teamlead</v>
      </c>
      <c r="I173" t="s">
        <v>50</v>
      </c>
      <c r="J173" t="s">
        <v>18</v>
      </c>
      <c r="K173" t="s">
        <v>42</v>
      </c>
      <c r="L173">
        <v>2401</v>
      </c>
      <c r="M173">
        <v>28812</v>
      </c>
      <c r="N173">
        <v>5</v>
      </c>
      <c r="O173" t="str" cm="1">
        <f t="array" ref="O173">_xlfn.IFS(EmpTable[[#This Row],[Job Rate]] &lt;=1,"LOW",N173&lt;=2,"LOW",N173&lt;=3,"MEDIUM",N173&gt;4,"HIGH")</f>
        <v>HIGH</v>
      </c>
      <c r="P173">
        <v>0</v>
      </c>
      <c r="Q173">
        <v>0</v>
      </c>
      <c r="R173">
        <v>9</v>
      </c>
    </row>
    <row r="174" spans="1:18" x14ac:dyDescent="0.3">
      <c r="A174">
        <v>173</v>
      </c>
      <c r="B174" t="s">
        <v>305</v>
      </c>
      <c r="C174" t="s">
        <v>306</v>
      </c>
      <c r="D174" t="str">
        <f>_xlfn.CONCAT(EmpTable[[#This Row],[First Name]],EmpTable[[#This Row],[Last Name]])</f>
        <v>RuaaMukiin</v>
      </c>
      <c r="E174" t="s">
        <v>307</v>
      </c>
      <c r="F174" s="1">
        <v>42994</v>
      </c>
      <c r="G174" s="2">
        <f ca="1">DATEDIF(EmpTable[[#This Row],[Start Date]],TODAY(),"Y")</f>
        <v>8</v>
      </c>
      <c r="H174" s="2" t="str" cm="1">
        <f t="array" aca="1" ref="H174" ca="1">_xlfn.IFS(G174&lt;=1,"Fresh",G174&lt;=3,"Junior",G174&lt;=7,"Teamlead",G174&gt;=7,"manger")</f>
        <v>manger</v>
      </c>
      <c r="I174" t="s">
        <v>28</v>
      </c>
      <c r="J174" t="s">
        <v>22</v>
      </c>
      <c r="K174" t="s">
        <v>42</v>
      </c>
      <c r="L174">
        <v>3168</v>
      </c>
      <c r="M174">
        <v>38016</v>
      </c>
      <c r="N174">
        <v>5</v>
      </c>
      <c r="O174" t="str" cm="1">
        <f t="array" ref="O174">_xlfn.IFS(EmpTable[[#This Row],[Job Rate]] &lt;=1,"LOW",N174&lt;=2,"LOW",N174&lt;=3,"MEDIUM",N174&gt;4,"HIGH")</f>
        <v>HIGH</v>
      </c>
      <c r="P174">
        <v>0</v>
      </c>
      <c r="Q174">
        <v>0</v>
      </c>
      <c r="R174">
        <v>18</v>
      </c>
    </row>
    <row r="175" spans="1:18" x14ac:dyDescent="0.3">
      <c r="A175">
        <v>174</v>
      </c>
      <c r="B175" t="s">
        <v>82</v>
      </c>
      <c r="C175" t="s">
        <v>308</v>
      </c>
      <c r="D175" t="str">
        <f>_xlfn.CONCAT(EmpTable[[#This Row],[First Name]],EmpTable[[#This Row],[Last Name]])</f>
        <v>RanaShaeban</v>
      </c>
      <c r="E175" t="s">
        <v>307</v>
      </c>
      <c r="F175" s="1">
        <v>43148</v>
      </c>
      <c r="G175" s="2">
        <f ca="1">DATEDIF(EmpTable[[#This Row],[Start Date]],TODAY(),"Y")</f>
        <v>8</v>
      </c>
      <c r="H175" s="2" t="str" cm="1">
        <f t="array" aca="1" ref="H175" ca="1">_xlfn.IFS(G175&lt;=1,"Fresh",G175&lt;=3,"Junior",G175&lt;=7,"Teamlead",G175&gt;=7,"manger")</f>
        <v>manger</v>
      </c>
      <c r="I175" t="s">
        <v>77</v>
      </c>
      <c r="J175" t="s">
        <v>18</v>
      </c>
      <c r="K175" t="s">
        <v>42</v>
      </c>
      <c r="L175">
        <v>1620</v>
      </c>
      <c r="M175">
        <v>19440</v>
      </c>
      <c r="N175">
        <v>5</v>
      </c>
      <c r="O175" t="str" cm="1">
        <f t="array" ref="O175">_xlfn.IFS(EmpTable[[#This Row],[Job Rate]] &lt;=1,"LOW",N175&lt;=2,"LOW",N175&lt;=3,"MEDIUM",N175&gt;4,"HIGH")</f>
        <v>HIGH</v>
      </c>
      <c r="P175">
        <v>5</v>
      </c>
      <c r="Q175">
        <v>0</v>
      </c>
      <c r="R175">
        <v>10</v>
      </c>
    </row>
    <row r="176" spans="1:18" x14ac:dyDescent="0.3">
      <c r="A176">
        <v>175</v>
      </c>
      <c r="B176" t="s">
        <v>151</v>
      </c>
      <c r="C176" t="s">
        <v>309</v>
      </c>
      <c r="D176" t="str">
        <f>_xlfn.CONCAT(EmpTable[[#This Row],[First Name]],EmpTable[[#This Row],[Last Name]])</f>
        <v>MuwminEwad</v>
      </c>
      <c r="E176" t="s">
        <v>32</v>
      </c>
      <c r="F176" s="1">
        <v>42892</v>
      </c>
      <c r="G176" s="2">
        <f ca="1">DATEDIF(EmpTable[[#This Row],[Start Date]],TODAY(),"Y")</f>
        <v>8</v>
      </c>
      <c r="H176" s="2" t="str" cm="1">
        <f t="array" aca="1" ref="H176" ca="1">_xlfn.IFS(G176&lt;=1,"Fresh",G176&lt;=3,"Junior",G176&lt;=7,"Teamlead",G176&gt;=7,"manger")</f>
        <v>manger</v>
      </c>
      <c r="I176" t="s">
        <v>17</v>
      </c>
      <c r="J176" t="s">
        <v>29</v>
      </c>
      <c r="K176" t="s">
        <v>42</v>
      </c>
      <c r="L176">
        <v>1482</v>
      </c>
      <c r="M176">
        <v>17784</v>
      </c>
      <c r="N176">
        <v>5</v>
      </c>
      <c r="O176" t="str" cm="1">
        <f t="array" ref="O176">_xlfn.IFS(EmpTable[[#This Row],[Job Rate]] &lt;=1,"LOW",N176&lt;=2,"LOW",N176&lt;=3,"MEDIUM",N176&gt;4,"HIGH")</f>
        <v>HIGH</v>
      </c>
      <c r="P176">
        <v>0</v>
      </c>
      <c r="Q176">
        <v>0</v>
      </c>
      <c r="R176">
        <v>3</v>
      </c>
    </row>
    <row r="177" spans="1:18" x14ac:dyDescent="0.3">
      <c r="A177">
        <v>176</v>
      </c>
      <c r="B177" t="s">
        <v>310</v>
      </c>
      <c r="C177" t="s">
        <v>311</v>
      </c>
      <c r="D177" t="str">
        <f>_xlfn.CONCAT(EmpTable[[#This Row],[First Name]],EmpTable[[#This Row],[Last Name]])</f>
        <v>RahafAlaleppoy</v>
      </c>
      <c r="E177" t="s">
        <v>307</v>
      </c>
      <c r="F177" s="1">
        <v>43939</v>
      </c>
      <c r="G177" s="2">
        <f ca="1">DATEDIF(EmpTable[[#This Row],[Start Date]],TODAY(),"Y")</f>
        <v>5</v>
      </c>
      <c r="H177" s="2" t="str" cm="1">
        <f t="array" aca="1" ref="H177" ca="1">_xlfn.IFS(G177&lt;=1,"Fresh",G177&lt;=3,"Junior",G177&lt;=7,"Teamlead",G177&gt;=7,"manger")</f>
        <v>Teamlead</v>
      </c>
      <c r="I177" t="s">
        <v>41</v>
      </c>
      <c r="J177" t="s">
        <v>18</v>
      </c>
      <c r="K177" t="s">
        <v>42</v>
      </c>
      <c r="L177">
        <v>1967</v>
      </c>
      <c r="M177">
        <v>23604</v>
      </c>
      <c r="N177">
        <v>4.5</v>
      </c>
      <c r="O177" t="str" cm="1">
        <f t="array" ref="O177">_xlfn.IFS(EmpTable[[#This Row],[Job Rate]] &lt;=1,"LOW",N177&lt;=2,"LOW",N177&lt;=3,"MEDIUM",N177&gt;4,"HIGH")</f>
        <v>HIGH</v>
      </c>
      <c r="P177">
        <v>6</v>
      </c>
      <c r="Q177">
        <v>0</v>
      </c>
      <c r="R177">
        <v>6</v>
      </c>
    </row>
    <row r="178" spans="1:18" x14ac:dyDescent="0.3">
      <c r="A178">
        <v>177</v>
      </c>
      <c r="B178" t="s">
        <v>312</v>
      </c>
      <c r="C178" t="s">
        <v>313</v>
      </c>
      <c r="D178" t="str">
        <f>_xlfn.CONCAT(EmpTable[[#This Row],[First Name]],EmpTable[[#This Row],[Last Name]])</f>
        <v>SamiahAlsaedi</v>
      </c>
      <c r="E178" t="s">
        <v>307</v>
      </c>
      <c r="F178" s="1">
        <v>43175</v>
      </c>
      <c r="G178" s="2">
        <f ca="1">DATEDIF(EmpTable[[#This Row],[Start Date]],TODAY(),"Y")</f>
        <v>8</v>
      </c>
      <c r="H178" s="2" t="str" cm="1">
        <f t="array" aca="1" ref="H178" ca="1">_xlfn.IFS(G178&lt;=1,"Fresh",G178&lt;=3,"Junior",G178&lt;=7,"Teamlead",G178&gt;=7,"manger")</f>
        <v>manger</v>
      </c>
      <c r="I178" t="s">
        <v>28</v>
      </c>
      <c r="J178" t="s">
        <v>18</v>
      </c>
      <c r="K178" t="s">
        <v>42</v>
      </c>
      <c r="L178">
        <v>1696</v>
      </c>
      <c r="M178">
        <v>20352</v>
      </c>
      <c r="N178">
        <v>5</v>
      </c>
      <c r="O178" t="str" cm="1">
        <f t="array" ref="O178">_xlfn.IFS(EmpTable[[#This Row],[Job Rate]] &lt;=1,"LOW",N178&lt;=2,"LOW",N178&lt;=3,"MEDIUM",N178&gt;4,"HIGH")</f>
        <v>HIGH</v>
      </c>
      <c r="P178">
        <v>0</v>
      </c>
      <c r="Q178">
        <v>0</v>
      </c>
      <c r="R178">
        <v>5</v>
      </c>
    </row>
    <row r="179" spans="1:18" x14ac:dyDescent="0.3">
      <c r="A179">
        <v>178</v>
      </c>
      <c r="B179" t="s">
        <v>121</v>
      </c>
      <c r="C179" t="s">
        <v>314</v>
      </c>
      <c r="D179" t="str">
        <f>_xlfn.CONCAT(EmpTable[[#This Row],[First Name]],EmpTable[[#This Row],[Last Name]])</f>
        <v>RimHamdu</v>
      </c>
      <c r="E179" t="s">
        <v>307</v>
      </c>
      <c r="F179" s="1">
        <v>43458</v>
      </c>
      <c r="G179" s="2">
        <f ca="1">DATEDIF(EmpTable[[#This Row],[Start Date]],TODAY(),"Y")</f>
        <v>7</v>
      </c>
      <c r="H179" s="2" t="str" cm="1">
        <f t="array" aca="1" ref="H179" ca="1">_xlfn.IFS(G179&lt;=1,"Fresh",G179&lt;=3,"Junior",G179&lt;=7,"Teamlead",G179&gt;=7,"manger")</f>
        <v>Teamlead</v>
      </c>
      <c r="I179" t="s">
        <v>53</v>
      </c>
      <c r="J179" t="s">
        <v>18</v>
      </c>
      <c r="K179" t="s">
        <v>60</v>
      </c>
      <c r="L179">
        <v>2913</v>
      </c>
      <c r="M179">
        <v>34956</v>
      </c>
      <c r="N179">
        <v>4.5</v>
      </c>
      <c r="O179" t="str" cm="1">
        <f t="array" ref="O179">_xlfn.IFS(EmpTable[[#This Row],[Job Rate]] &lt;=1,"LOW",N179&lt;=2,"LOW",N179&lt;=3,"MEDIUM",N179&gt;4,"HIGH")</f>
        <v>HIGH</v>
      </c>
      <c r="P179">
        <v>0</v>
      </c>
      <c r="Q179">
        <v>0</v>
      </c>
      <c r="R179">
        <v>3</v>
      </c>
    </row>
    <row r="180" spans="1:18" x14ac:dyDescent="0.3">
      <c r="A180">
        <v>179</v>
      </c>
      <c r="B180" t="s">
        <v>315</v>
      </c>
      <c r="C180" t="s">
        <v>316</v>
      </c>
      <c r="D180" t="str">
        <f>_xlfn.CONCAT(EmpTable[[#This Row],[First Name]],EmpTable[[#This Row],[Last Name]])</f>
        <v>AishahAlquatliu</v>
      </c>
      <c r="E180" t="s">
        <v>307</v>
      </c>
      <c r="F180" s="1">
        <v>43897</v>
      </c>
      <c r="G180" s="2">
        <f ca="1">DATEDIF(EmpTable[[#This Row],[Start Date]],TODAY(),"Y")</f>
        <v>6</v>
      </c>
      <c r="H180" s="2" t="str" cm="1">
        <f t="array" aca="1" ref="H180" ca="1">_xlfn.IFS(G180&lt;=1,"Fresh",G180&lt;=3,"Junior",G180&lt;=7,"Teamlead",G180&gt;=7,"manger")</f>
        <v>Teamlead</v>
      </c>
      <c r="I180" t="s">
        <v>77</v>
      </c>
      <c r="J180" t="s">
        <v>294</v>
      </c>
      <c r="K180" t="s">
        <v>60</v>
      </c>
      <c r="L180">
        <v>2068</v>
      </c>
      <c r="M180">
        <v>24816</v>
      </c>
      <c r="N180">
        <v>1</v>
      </c>
      <c r="O180" t="str" cm="1">
        <f t="array" ref="O180">_xlfn.IFS(EmpTable[[#This Row],[Job Rate]] &lt;=1,"LOW",N180&lt;=2,"LOW",N180&lt;=3,"MEDIUM",N180&gt;4,"HIGH")</f>
        <v>LOW</v>
      </c>
      <c r="P180">
        <v>0</v>
      </c>
      <c r="Q180">
        <v>1</v>
      </c>
      <c r="R180">
        <v>0</v>
      </c>
    </row>
    <row r="181" spans="1:18" x14ac:dyDescent="0.3">
      <c r="A181">
        <v>180</v>
      </c>
      <c r="B181" t="s">
        <v>317</v>
      </c>
      <c r="C181" t="s">
        <v>318</v>
      </c>
      <c r="D181" t="str">
        <f>_xlfn.CONCAT(EmpTable[[#This Row],[First Name]],EmpTable[[#This Row],[Last Name]])</f>
        <v>DanyAlbaba</v>
      </c>
      <c r="E181" t="s">
        <v>32</v>
      </c>
      <c r="F181" s="1">
        <v>43398</v>
      </c>
      <c r="G181" s="2">
        <f ca="1">DATEDIF(EmpTable[[#This Row],[Start Date]],TODAY(),"Y")</f>
        <v>7</v>
      </c>
      <c r="H181" s="2" t="str" cm="1">
        <f t="array" aca="1" ref="H181" ca="1">_xlfn.IFS(G181&lt;=1,"Fresh",G181&lt;=3,"Junior",G181&lt;=7,"Teamlead",G181&gt;=7,"manger")</f>
        <v>Teamlead</v>
      </c>
      <c r="I181" t="s">
        <v>163</v>
      </c>
      <c r="J181" t="s">
        <v>29</v>
      </c>
      <c r="K181" t="s">
        <v>36</v>
      </c>
      <c r="L181">
        <v>1430</v>
      </c>
      <c r="M181">
        <v>17160</v>
      </c>
      <c r="N181">
        <v>3</v>
      </c>
      <c r="O181" t="str" cm="1">
        <f t="array" ref="O181">_xlfn.IFS(EmpTable[[#This Row],[Job Rate]] &lt;=1,"LOW",N181&lt;=2,"LOW",N181&lt;=3,"MEDIUM",N181&gt;4,"HIGH")</f>
        <v>MEDIUM</v>
      </c>
      <c r="P181">
        <v>6</v>
      </c>
      <c r="Q181">
        <v>0</v>
      </c>
      <c r="R181">
        <v>0</v>
      </c>
    </row>
    <row r="182" spans="1:18" x14ac:dyDescent="0.3">
      <c r="A182">
        <v>181</v>
      </c>
      <c r="B182" t="s">
        <v>33</v>
      </c>
      <c r="C182" t="s">
        <v>319</v>
      </c>
      <c r="D182" t="str">
        <f>_xlfn.CONCAT(EmpTable[[#This Row],[First Name]],EmpTable[[#This Row],[Last Name]])</f>
        <v>MuhamadRinkusi</v>
      </c>
      <c r="E182" t="s">
        <v>32</v>
      </c>
      <c r="F182" s="1">
        <v>43250</v>
      </c>
      <c r="G182" s="2">
        <f ca="1">DATEDIF(EmpTable[[#This Row],[Start Date]],TODAY(),"Y")</f>
        <v>7</v>
      </c>
      <c r="H182" s="2" t="str" cm="1">
        <f t="array" aca="1" ref="H182" ca="1">_xlfn.IFS(G182&lt;=1,"Fresh",G182&lt;=3,"Junior",G182&lt;=7,"Teamlead",G182&gt;=7,"manger")</f>
        <v>Teamlead</v>
      </c>
      <c r="I182" t="s">
        <v>41</v>
      </c>
      <c r="J182" t="s">
        <v>22</v>
      </c>
      <c r="K182" t="s">
        <v>36</v>
      </c>
      <c r="L182">
        <v>3138</v>
      </c>
      <c r="M182">
        <v>37656</v>
      </c>
      <c r="N182">
        <v>1</v>
      </c>
      <c r="O182" t="str" cm="1">
        <f t="array" ref="O182">_xlfn.IFS(EmpTable[[#This Row],[Job Rate]] &lt;=1,"LOW",N182&lt;=2,"LOW",N182&lt;=3,"MEDIUM",N182&gt;4,"HIGH")</f>
        <v>LOW</v>
      </c>
      <c r="P182">
        <v>0</v>
      </c>
      <c r="Q182">
        <v>5</v>
      </c>
      <c r="R182">
        <v>9</v>
      </c>
    </row>
    <row r="183" spans="1:18" x14ac:dyDescent="0.3">
      <c r="A183">
        <v>182</v>
      </c>
      <c r="B183" t="s">
        <v>320</v>
      </c>
      <c r="C183" t="s">
        <v>321</v>
      </c>
      <c r="D183" t="str">
        <f>_xlfn.CONCAT(EmpTable[[#This Row],[First Name]],EmpTable[[#This Row],[Last Name]])</f>
        <v>IsamJadid</v>
      </c>
      <c r="E183" t="s">
        <v>32</v>
      </c>
      <c r="F183" s="1">
        <v>44169</v>
      </c>
      <c r="G183" s="2">
        <f ca="1">DATEDIF(EmpTable[[#This Row],[Start Date]],TODAY(),"Y")</f>
        <v>5</v>
      </c>
      <c r="H183" s="2" t="str" cm="1">
        <f t="array" aca="1" ref="H183" ca="1">_xlfn.IFS(G183&lt;=1,"Fresh",G183&lt;=3,"Junior",G183&lt;=7,"Teamlead",G183&gt;=7,"manger")</f>
        <v>Teamlead</v>
      </c>
      <c r="I183" t="s">
        <v>28</v>
      </c>
      <c r="J183" t="s">
        <v>18</v>
      </c>
      <c r="K183" t="s">
        <v>42</v>
      </c>
      <c r="L183">
        <v>2051</v>
      </c>
      <c r="M183">
        <v>24612</v>
      </c>
      <c r="N183">
        <v>3</v>
      </c>
      <c r="O183" t="str" cm="1">
        <f t="array" ref="O183">_xlfn.IFS(EmpTable[[#This Row],[Job Rate]] &lt;=1,"LOW",N183&lt;=2,"LOW",N183&lt;=3,"MEDIUM",N183&gt;4,"HIGH")</f>
        <v>MEDIUM</v>
      </c>
      <c r="P183">
        <v>0</v>
      </c>
      <c r="Q183">
        <v>0</v>
      </c>
      <c r="R183">
        <v>2</v>
      </c>
    </row>
    <row r="184" spans="1:18" x14ac:dyDescent="0.3">
      <c r="A184">
        <v>183</v>
      </c>
      <c r="B184" t="s">
        <v>322</v>
      </c>
      <c r="C184" t="s">
        <v>323</v>
      </c>
      <c r="D184" t="str">
        <f>_xlfn.CONCAT(EmpTable[[#This Row],[First Name]],EmpTable[[#This Row],[Last Name]])</f>
        <v>BushraaDrwysh</v>
      </c>
      <c r="E184" t="s">
        <v>307</v>
      </c>
      <c r="F184" s="1">
        <v>43351</v>
      </c>
      <c r="G184" s="2">
        <f ca="1">DATEDIF(EmpTable[[#This Row],[Start Date]],TODAY(),"Y")</f>
        <v>7</v>
      </c>
      <c r="H184" s="2" t="str" cm="1">
        <f t="array" aca="1" ref="H184" ca="1">_xlfn.IFS(G184&lt;=1,"Fresh",G184&lt;=3,"Junior",G184&lt;=7,"Teamlead",G184&gt;=7,"manger")</f>
        <v>Teamlead</v>
      </c>
      <c r="I184" t="s">
        <v>53</v>
      </c>
      <c r="J184" t="s">
        <v>18</v>
      </c>
      <c r="K184" t="s">
        <v>36</v>
      </c>
      <c r="L184">
        <v>2986</v>
      </c>
      <c r="M184">
        <v>35832</v>
      </c>
      <c r="N184">
        <v>1</v>
      </c>
      <c r="O184" t="str" cm="1">
        <f t="array" ref="O184">_xlfn.IFS(EmpTable[[#This Row],[Job Rate]] &lt;=1,"LOW",N184&lt;=2,"LOW",N184&lt;=3,"MEDIUM",N184&gt;4,"HIGH")</f>
        <v>LOW</v>
      </c>
      <c r="P184">
        <v>3</v>
      </c>
      <c r="Q184">
        <v>0</v>
      </c>
      <c r="R184">
        <v>8</v>
      </c>
    </row>
    <row r="185" spans="1:18" x14ac:dyDescent="0.3">
      <c r="A185">
        <v>184</v>
      </c>
      <c r="B185" t="s">
        <v>324</v>
      </c>
      <c r="C185" t="s">
        <v>325</v>
      </c>
      <c r="D185" t="str">
        <f>_xlfn.CONCAT(EmpTable[[#This Row],[First Name]],EmpTable[[#This Row],[Last Name]])</f>
        <v>ZakarianRashwani</v>
      </c>
      <c r="E185" t="s">
        <v>32</v>
      </c>
      <c r="F185" s="1">
        <v>43524</v>
      </c>
      <c r="G185" s="2">
        <f ca="1">DATEDIF(EmpTable[[#This Row],[Start Date]],TODAY(),"Y")</f>
        <v>7</v>
      </c>
      <c r="H185" s="2" t="str" cm="1">
        <f t="array" aca="1" ref="H185" ca="1">_xlfn.IFS(G185&lt;=1,"Fresh",G185&lt;=3,"Junior",G185&lt;=7,"Teamlead",G185&gt;=7,"manger")</f>
        <v>Teamlead</v>
      </c>
      <c r="I185" t="s">
        <v>28</v>
      </c>
      <c r="J185" t="s">
        <v>48</v>
      </c>
      <c r="K185" t="s">
        <v>42</v>
      </c>
      <c r="L185">
        <v>2790</v>
      </c>
      <c r="M185">
        <v>33480</v>
      </c>
      <c r="N185">
        <v>5</v>
      </c>
      <c r="O185" t="str" cm="1">
        <f t="array" ref="O185">_xlfn.IFS(EmpTable[[#This Row],[Job Rate]] &lt;=1,"LOW",N185&lt;=2,"LOW",N185&lt;=3,"MEDIUM",N185&gt;4,"HIGH")</f>
        <v>HIGH</v>
      </c>
      <c r="P185">
        <v>6</v>
      </c>
      <c r="Q185">
        <v>0</v>
      </c>
      <c r="R185">
        <v>3</v>
      </c>
    </row>
    <row r="186" spans="1:18" x14ac:dyDescent="0.3">
      <c r="A186">
        <v>185</v>
      </c>
      <c r="B186" t="s">
        <v>197</v>
      </c>
      <c r="C186" t="s">
        <v>326</v>
      </c>
      <c r="D186" t="str">
        <f>_xlfn.CONCAT(EmpTable[[#This Row],[First Name]],EmpTable[[#This Row],[Last Name]])</f>
        <v>FadiAlqadi</v>
      </c>
      <c r="E186" t="s">
        <v>32</v>
      </c>
      <c r="F186" s="1">
        <v>44182</v>
      </c>
      <c r="G186" s="2">
        <f ca="1">DATEDIF(EmpTable[[#This Row],[Start Date]],TODAY(),"Y")</f>
        <v>5</v>
      </c>
      <c r="H186" s="2" t="str" cm="1">
        <f t="array" aca="1" ref="H186" ca="1">_xlfn.IFS(G186&lt;=1,"Fresh",G186&lt;=3,"Junior",G186&lt;=7,"Teamlead",G186&gt;=7,"manger")</f>
        <v>Teamlead</v>
      </c>
      <c r="I186" t="s">
        <v>53</v>
      </c>
      <c r="J186" t="s">
        <v>18</v>
      </c>
      <c r="K186" t="s">
        <v>42</v>
      </c>
      <c r="L186">
        <v>1075</v>
      </c>
      <c r="M186">
        <v>12900</v>
      </c>
      <c r="N186">
        <v>4.5</v>
      </c>
      <c r="O186" t="str" cm="1">
        <f t="array" ref="O186">_xlfn.IFS(EmpTable[[#This Row],[Job Rate]] &lt;=1,"LOW",N186&lt;=2,"LOW",N186&lt;=3,"MEDIUM",N186&gt;4,"HIGH")</f>
        <v>HIGH</v>
      </c>
      <c r="P186">
        <v>6</v>
      </c>
      <c r="Q186">
        <v>0</v>
      </c>
      <c r="R186">
        <v>7</v>
      </c>
    </row>
    <row r="187" spans="1:18" x14ac:dyDescent="0.3">
      <c r="A187">
        <v>186</v>
      </c>
      <c r="B187" t="s">
        <v>327</v>
      </c>
      <c r="C187" t="s">
        <v>328</v>
      </c>
      <c r="D187" t="str">
        <f>_xlfn.CONCAT(EmpTable[[#This Row],[First Name]],EmpTable[[#This Row],[Last Name]])</f>
        <v>DieaAlmarstani</v>
      </c>
      <c r="E187" t="s">
        <v>32</v>
      </c>
      <c r="F187" s="1">
        <v>43592</v>
      </c>
      <c r="G187" s="2">
        <f ca="1">DATEDIF(EmpTable[[#This Row],[Start Date]],TODAY(),"Y")</f>
        <v>6</v>
      </c>
      <c r="H187" s="2" t="str" cm="1">
        <f t="array" aca="1" ref="H187" ca="1">_xlfn.IFS(G187&lt;=1,"Fresh",G187&lt;=3,"Junior",G187&lt;=7,"Teamlead",G187&gt;=7,"manger")</f>
        <v>Teamlead</v>
      </c>
      <c r="I187" t="s">
        <v>39</v>
      </c>
      <c r="J187" t="s">
        <v>48</v>
      </c>
      <c r="K187" t="s">
        <v>42</v>
      </c>
      <c r="L187">
        <v>2009</v>
      </c>
      <c r="M187">
        <v>24108</v>
      </c>
      <c r="N187">
        <v>1</v>
      </c>
      <c r="O187" t="str" cm="1">
        <f t="array" ref="O187">_xlfn.IFS(EmpTable[[#This Row],[Job Rate]] &lt;=1,"LOW",N187&lt;=2,"LOW",N187&lt;=3,"MEDIUM",N187&gt;4,"HIGH")</f>
        <v>LOW</v>
      </c>
      <c r="P187">
        <v>5</v>
      </c>
      <c r="Q187">
        <v>0</v>
      </c>
      <c r="R187">
        <v>0</v>
      </c>
    </row>
    <row r="188" spans="1:18" x14ac:dyDescent="0.3">
      <c r="A188">
        <v>187</v>
      </c>
      <c r="B188" t="s">
        <v>33</v>
      </c>
      <c r="C188" t="s">
        <v>329</v>
      </c>
      <c r="D188" t="str">
        <f>_xlfn.CONCAT(EmpTable[[#This Row],[First Name]],EmpTable[[#This Row],[Last Name]])</f>
        <v>MuhamadSiedih</v>
      </c>
      <c r="E188" t="s">
        <v>32</v>
      </c>
      <c r="F188" s="1">
        <v>43315</v>
      </c>
      <c r="G188" s="2">
        <f ca="1">DATEDIF(EmpTable[[#This Row],[Start Date]],TODAY(),"Y")</f>
        <v>7</v>
      </c>
      <c r="H188" s="2" t="str" cm="1">
        <f t="array" aca="1" ref="H188" ca="1">_xlfn.IFS(G188&lt;=1,"Fresh",G188&lt;=3,"Junior",G188&lt;=7,"Teamlead",G188&gt;=7,"manger")</f>
        <v>Teamlead</v>
      </c>
      <c r="I188" t="s">
        <v>76</v>
      </c>
      <c r="J188" t="s">
        <v>18</v>
      </c>
      <c r="K188" t="s">
        <v>42</v>
      </c>
      <c r="L188">
        <v>3254</v>
      </c>
      <c r="M188">
        <v>39048</v>
      </c>
      <c r="N188">
        <v>3</v>
      </c>
      <c r="O188" t="str" cm="1">
        <f t="array" ref="O188">_xlfn.IFS(EmpTable[[#This Row],[Job Rate]] &lt;=1,"LOW",N188&lt;=2,"LOW",N188&lt;=3,"MEDIUM",N188&gt;4,"HIGH")</f>
        <v>MEDIUM</v>
      </c>
      <c r="P188">
        <v>4</v>
      </c>
      <c r="Q188">
        <v>6</v>
      </c>
      <c r="R188">
        <v>5</v>
      </c>
    </row>
    <row r="189" spans="1:18" x14ac:dyDescent="0.3">
      <c r="A189">
        <v>188</v>
      </c>
      <c r="B189" t="s">
        <v>330</v>
      </c>
      <c r="C189" t="s">
        <v>142</v>
      </c>
      <c r="D189" t="str">
        <f>_xlfn.CONCAT(EmpTable[[#This Row],[First Name]],EmpTable[[#This Row],[Last Name]])</f>
        <v>BisamAlmisri</v>
      </c>
      <c r="E189" t="s">
        <v>307</v>
      </c>
      <c r="F189" s="1">
        <v>43755</v>
      </c>
      <c r="G189" s="2">
        <f ca="1">DATEDIF(EmpTable[[#This Row],[Start Date]],TODAY(),"Y")</f>
        <v>6</v>
      </c>
      <c r="H189" s="2" t="str" cm="1">
        <f t="array" aca="1" ref="H189" ca="1">_xlfn.IFS(G189&lt;=1,"Fresh",G189&lt;=3,"Junior",G189&lt;=7,"Teamlead",G189&gt;=7,"manger")</f>
        <v>Teamlead</v>
      </c>
      <c r="I189" t="s">
        <v>118</v>
      </c>
      <c r="J189" t="s">
        <v>29</v>
      </c>
      <c r="K189" t="s">
        <v>42</v>
      </c>
      <c r="L189">
        <v>2367</v>
      </c>
      <c r="M189">
        <v>28404</v>
      </c>
      <c r="N189">
        <v>3</v>
      </c>
      <c r="O189" t="str" cm="1">
        <f t="array" ref="O189">_xlfn.IFS(EmpTable[[#This Row],[Job Rate]] &lt;=1,"LOW",N189&lt;=2,"LOW",N189&lt;=3,"MEDIUM",N189&gt;4,"HIGH")</f>
        <v>MEDIUM</v>
      </c>
      <c r="P189">
        <v>0</v>
      </c>
      <c r="Q189">
        <v>0</v>
      </c>
      <c r="R189">
        <v>1</v>
      </c>
    </row>
    <row r="190" spans="1:18" x14ac:dyDescent="0.3">
      <c r="A190">
        <v>189</v>
      </c>
      <c r="B190" t="s">
        <v>33</v>
      </c>
      <c r="C190" t="s">
        <v>167</v>
      </c>
      <c r="D190" t="str">
        <f>_xlfn.CONCAT(EmpTable[[#This Row],[First Name]],EmpTable[[#This Row],[Last Name]])</f>
        <v>MuhamadAlkhatib</v>
      </c>
      <c r="E190" t="s">
        <v>32</v>
      </c>
      <c r="F190" s="1">
        <v>43133</v>
      </c>
      <c r="G190" s="2">
        <f ca="1">DATEDIF(EmpTable[[#This Row],[Start Date]],TODAY(),"Y")</f>
        <v>8</v>
      </c>
      <c r="H190" s="2" t="str" cm="1">
        <f t="array" aca="1" ref="H190" ca="1">_xlfn.IFS(G190&lt;=1,"Fresh",G190&lt;=3,"Junior",G190&lt;=7,"Teamlead",G190&gt;=7,"manger")</f>
        <v>manger</v>
      </c>
      <c r="I190" t="s">
        <v>28</v>
      </c>
      <c r="J190" t="s">
        <v>29</v>
      </c>
      <c r="K190" t="s">
        <v>42</v>
      </c>
      <c r="L190">
        <v>3158</v>
      </c>
      <c r="M190">
        <v>37896</v>
      </c>
      <c r="N190">
        <v>3</v>
      </c>
      <c r="O190" t="str" cm="1">
        <f t="array" ref="O190">_xlfn.IFS(EmpTable[[#This Row],[Job Rate]] &lt;=1,"LOW",N190&lt;=2,"LOW",N190&lt;=3,"MEDIUM",N190&gt;4,"HIGH")</f>
        <v>MEDIUM</v>
      </c>
      <c r="P190">
        <v>2</v>
      </c>
      <c r="Q190">
        <v>5</v>
      </c>
      <c r="R190">
        <v>10</v>
      </c>
    </row>
    <row r="191" spans="1:18" x14ac:dyDescent="0.3">
      <c r="A191">
        <v>190</v>
      </c>
      <c r="B191" t="s">
        <v>33</v>
      </c>
      <c r="C191" t="s">
        <v>331</v>
      </c>
      <c r="D191" t="str">
        <f>_xlfn.CONCAT(EmpTable[[#This Row],[First Name]],EmpTable[[#This Row],[Last Name]])</f>
        <v>MuhamadRghid</v>
      </c>
      <c r="E191" t="s">
        <v>32</v>
      </c>
      <c r="F191" s="1">
        <v>43826</v>
      </c>
      <c r="G191" s="2">
        <f ca="1">DATEDIF(EmpTable[[#This Row],[Start Date]],TODAY(),"Y")</f>
        <v>6</v>
      </c>
      <c r="H191" s="2" t="str" cm="1">
        <f t="array" aca="1" ref="H191" ca="1">_xlfn.IFS(G191&lt;=1,"Fresh",G191&lt;=3,"Junior",G191&lt;=7,"Teamlead",G191&gt;=7,"manger")</f>
        <v>Teamlead</v>
      </c>
      <c r="I191" t="s">
        <v>28</v>
      </c>
      <c r="J191" t="s">
        <v>29</v>
      </c>
      <c r="K191" t="s">
        <v>42</v>
      </c>
      <c r="L191">
        <v>1980</v>
      </c>
      <c r="M191">
        <v>23760</v>
      </c>
      <c r="N191">
        <v>2</v>
      </c>
      <c r="O191" t="str" cm="1">
        <f t="array" ref="O191">_xlfn.IFS(EmpTable[[#This Row],[Job Rate]] &lt;=1,"LOW",N191&lt;=2,"LOW",N191&lt;=3,"MEDIUM",N191&gt;4,"HIGH")</f>
        <v>LOW</v>
      </c>
      <c r="P191">
        <v>0</v>
      </c>
      <c r="Q191">
        <v>0</v>
      </c>
      <c r="R191">
        <v>2</v>
      </c>
    </row>
    <row r="192" spans="1:18" x14ac:dyDescent="0.3">
      <c r="A192">
        <v>191</v>
      </c>
      <c r="B192" t="s">
        <v>20</v>
      </c>
      <c r="C192" t="s">
        <v>231</v>
      </c>
      <c r="D192" t="str">
        <f>_xlfn.CONCAT(EmpTable[[#This Row],[First Name]],EmpTable[[#This Row],[Last Name]])</f>
        <v>OmarShakir</v>
      </c>
      <c r="E192" t="s">
        <v>32</v>
      </c>
      <c r="F192" s="1">
        <v>43562</v>
      </c>
      <c r="G192" s="2">
        <f ca="1">DATEDIF(EmpTable[[#This Row],[Start Date]],TODAY(),"Y")</f>
        <v>6</v>
      </c>
      <c r="H192" s="2" t="str" cm="1">
        <f t="array" aca="1" ref="H192" ca="1">_xlfn.IFS(G192&lt;=1,"Fresh",G192&lt;=3,"Junior",G192&lt;=7,"Teamlead",G192&gt;=7,"manger")</f>
        <v>Teamlead</v>
      </c>
      <c r="I192" t="s">
        <v>41</v>
      </c>
      <c r="J192" t="s">
        <v>18</v>
      </c>
      <c r="K192" t="s">
        <v>42</v>
      </c>
      <c r="L192">
        <v>2049</v>
      </c>
      <c r="M192">
        <v>24588</v>
      </c>
      <c r="N192">
        <v>3</v>
      </c>
      <c r="O192" t="str" cm="1">
        <f t="array" ref="O192">_xlfn.IFS(EmpTable[[#This Row],[Job Rate]] &lt;=1,"LOW",N192&lt;=2,"LOW",N192&lt;=3,"MEDIUM",N192&gt;4,"HIGH")</f>
        <v>MEDIUM</v>
      </c>
      <c r="P192">
        <v>6</v>
      </c>
      <c r="Q192">
        <v>0</v>
      </c>
      <c r="R192">
        <v>23</v>
      </c>
    </row>
    <row r="193" spans="1:18" x14ac:dyDescent="0.3">
      <c r="A193">
        <v>192</v>
      </c>
      <c r="B193" t="s">
        <v>332</v>
      </c>
      <c r="C193" t="s">
        <v>333</v>
      </c>
      <c r="D193" t="str">
        <f>_xlfn.CONCAT(EmpTable[[#This Row],[First Name]],EmpTable[[#This Row],[Last Name]])</f>
        <v>AryjHamada</v>
      </c>
      <c r="E193" t="s">
        <v>307</v>
      </c>
      <c r="F193" s="1">
        <v>43978</v>
      </c>
      <c r="G193" s="2">
        <f ca="1">DATEDIF(EmpTable[[#This Row],[Start Date]],TODAY(),"Y")</f>
        <v>5</v>
      </c>
      <c r="H193" s="2" t="str" cm="1">
        <f t="array" aca="1" ref="H193" ca="1">_xlfn.IFS(G193&lt;=1,"Fresh",G193&lt;=3,"Junior",G193&lt;=7,"Teamlead",G193&gt;=7,"manger")</f>
        <v>Teamlead</v>
      </c>
      <c r="I193" t="s">
        <v>77</v>
      </c>
      <c r="J193" t="s">
        <v>18</v>
      </c>
      <c r="K193" t="s">
        <v>36</v>
      </c>
      <c r="L193">
        <v>2727</v>
      </c>
      <c r="M193">
        <v>32724</v>
      </c>
      <c r="N193">
        <v>2</v>
      </c>
      <c r="O193" t="str" cm="1">
        <f t="array" ref="O193">_xlfn.IFS(EmpTable[[#This Row],[Job Rate]] &lt;=1,"LOW",N193&lt;=2,"LOW",N193&lt;=3,"MEDIUM",N193&gt;4,"HIGH")</f>
        <v>LOW</v>
      </c>
      <c r="P193">
        <v>0</v>
      </c>
      <c r="Q193">
        <v>0</v>
      </c>
      <c r="R193">
        <v>8</v>
      </c>
    </row>
    <row r="194" spans="1:18" x14ac:dyDescent="0.3">
      <c r="A194">
        <v>193</v>
      </c>
      <c r="B194" t="s">
        <v>334</v>
      </c>
      <c r="C194" t="s">
        <v>335</v>
      </c>
      <c r="D194" t="str">
        <f>_xlfn.CONCAT(EmpTable[[#This Row],[First Name]],EmpTable[[#This Row],[Last Name]])</f>
        <v>MadlinSaeid</v>
      </c>
      <c r="E194" t="s">
        <v>307</v>
      </c>
      <c r="F194" s="1">
        <v>43806</v>
      </c>
      <c r="G194" s="2">
        <f ca="1">DATEDIF(EmpTable[[#This Row],[Start Date]],TODAY(),"Y")</f>
        <v>6</v>
      </c>
      <c r="H194" s="2" t="str" cm="1">
        <f t="array" aca="1" ref="H194" ca="1">_xlfn.IFS(G194&lt;=1,"Fresh",G194&lt;=3,"Junior",G194&lt;=7,"Teamlead",G194&gt;=7,"manger")</f>
        <v>Teamlead</v>
      </c>
      <c r="I194" t="s">
        <v>28</v>
      </c>
      <c r="J194" t="s">
        <v>29</v>
      </c>
      <c r="K194" t="s">
        <v>60</v>
      </c>
      <c r="L194">
        <v>974</v>
      </c>
      <c r="M194">
        <v>11688</v>
      </c>
      <c r="N194">
        <v>5</v>
      </c>
      <c r="O194" t="str" cm="1">
        <f t="array" ref="O194">_xlfn.IFS(EmpTable[[#This Row],[Job Rate]] &lt;=1,"LOW",N194&lt;=2,"LOW",N194&lt;=3,"MEDIUM",N194&gt;4,"HIGH")</f>
        <v>HIGH</v>
      </c>
      <c r="P194">
        <v>0</v>
      </c>
      <c r="Q194">
        <v>0</v>
      </c>
      <c r="R194">
        <v>9</v>
      </c>
    </row>
    <row r="195" spans="1:18" x14ac:dyDescent="0.3">
      <c r="A195">
        <v>194</v>
      </c>
      <c r="B195" t="s">
        <v>336</v>
      </c>
      <c r="C195" t="s">
        <v>337</v>
      </c>
      <c r="D195" t="str">
        <f>_xlfn.CONCAT(EmpTable[[#This Row],[First Name]],EmpTable[[#This Row],[Last Name]])</f>
        <v>RybalSabagh</v>
      </c>
      <c r="E195" t="s">
        <v>32</v>
      </c>
      <c r="F195" s="1">
        <v>43775</v>
      </c>
      <c r="G195" s="2">
        <f ca="1">DATEDIF(EmpTable[[#This Row],[Start Date]],TODAY(),"Y")</f>
        <v>6</v>
      </c>
      <c r="H195" s="2" t="str" cm="1">
        <f t="array" aca="1" ref="H195" ca="1">_xlfn.IFS(G195&lt;=1,"Fresh",G195&lt;=3,"Junior",G195&lt;=7,"Teamlead",G195&gt;=7,"manger")</f>
        <v>Teamlead</v>
      </c>
      <c r="I195" t="s">
        <v>35</v>
      </c>
      <c r="J195" t="s">
        <v>29</v>
      </c>
      <c r="K195" t="s">
        <v>36</v>
      </c>
      <c r="L195">
        <v>992</v>
      </c>
      <c r="M195">
        <v>11904</v>
      </c>
      <c r="N195">
        <v>5</v>
      </c>
      <c r="O195" t="str" cm="1">
        <f t="array" ref="O195">_xlfn.IFS(EmpTable[[#This Row],[Job Rate]] &lt;=1,"LOW",N195&lt;=2,"LOW",N195&lt;=3,"MEDIUM",N195&gt;4,"HIGH")</f>
        <v>HIGH</v>
      </c>
      <c r="P195">
        <v>0</v>
      </c>
      <c r="Q195">
        <v>0</v>
      </c>
      <c r="R195">
        <v>3</v>
      </c>
    </row>
    <row r="196" spans="1:18" x14ac:dyDescent="0.3">
      <c r="A196">
        <v>195</v>
      </c>
      <c r="B196" t="s">
        <v>338</v>
      </c>
      <c r="C196" t="s">
        <v>339</v>
      </c>
      <c r="D196" t="str">
        <f>_xlfn.CONCAT(EmpTable[[#This Row],[First Name]],EmpTable[[#This Row],[Last Name]])</f>
        <v>SamarAlqutb</v>
      </c>
      <c r="E196" t="s">
        <v>307</v>
      </c>
      <c r="F196" s="1">
        <v>43329</v>
      </c>
      <c r="G196" s="2">
        <f ca="1">DATEDIF(EmpTable[[#This Row],[Start Date]],TODAY(),"Y")</f>
        <v>7</v>
      </c>
      <c r="H196" s="2" t="str" cm="1">
        <f t="array" aca="1" ref="H196" ca="1">_xlfn.IFS(G196&lt;=1,"Fresh",G196&lt;=3,"Junior",G196&lt;=7,"Teamlead",G196&gt;=7,"manger")</f>
        <v>Teamlead</v>
      </c>
      <c r="I196" t="s">
        <v>41</v>
      </c>
      <c r="J196" t="s">
        <v>18</v>
      </c>
      <c r="K196" t="s">
        <v>19</v>
      </c>
      <c r="L196">
        <v>2730</v>
      </c>
      <c r="M196">
        <v>32760</v>
      </c>
      <c r="N196">
        <v>1</v>
      </c>
      <c r="O196" t="str" cm="1">
        <f t="array" ref="O196">_xlfn.IFS(EmpTable[[#This Row],[Job Rate]] &lt;=1,"LOW",N196&lt;=2,"LOW",N196&lt;=3,"MEDIUM",N196&gt;4,"HIGH")</f>
        <v>LOW</v>
      </c>
      <c r="P196">
        <v>4</v>
      </c>
      <c r="Q196">
        <v>6</v>
      </c>
      <c r="R196">
        <v>9</v>
      </c>
    </row>
    <row r="197" spans="1:18" x14ac:dyDescent="0.3">
      <c r="A197">
        <v>196</v>
      </c>
      <c r="B197" t="s">
        <v>89</v>
      </c>
      <c r="C197" t="s">
        <v>340</v>
      </c>
      <c r="D197" t="str">
        <f>_xlfn.CONCAT(EmpTable[[#This Row],[First Name]],EmpTable[[#This Row],[Last Name]])</f>
        <v>EalaMurad</v>
      </c>
      <c r="E197" t="s">
        <v>307</v>
      </c>
      <c r="F197" s="1">
        <v>42387</v>
      </c>
      <c r="G197" s="2">
        <f ca="1">DATEDIF(EmpTable[[#This Row],[Start Date]],TODAY(),"Y")</f>
        <v>10</v>
      </c>
      <c r="H197" s="2" t="str" cm="1">
        <f t="array" aca="1" ref="H197" ca="1">_xlfn.IFS(G197&lt;=1,"Fresh",G197&lt;=3,"Junior",G197&lt;=7,"Teamlead",G197&gt;=7,"manger")</f>
        <v>manger</v>
      </c>
      <c r="I197" t="s">
        <v>53</v>
      </c>
      <c r="J197" t="s">
        <v>18</v>
      </c>
      <c r="K197" t="s">
        <v>19</v>
      </c>
      <c r="L197">
        <v>2804</v>
      </c>
      <c r="M197">
        <v>33648</v>
      </c>
      <c r="N197">
        <v>4.5</v>
      </c>
      <c r="O197" t="str" cm="1">
        <f t="array" ref="O197">_xlfn.IFS(EmpTable[[#This Row],[Job Rate]] &lt;=1,"LOW",N197&lt;=2,"LOW",N197&lt;=3,"MEDIUM",N197&gt;4,"HIGH")</f>
        <v>HIGH</v>
      </c>
      <c r="P197">
        <v>0</v>
      </c>
      <c r="Q197">
        <v>0</v>
      </c>
      <c r="R197">
        <v>4</v>
      </c>
    </row>
    <row r="198" spans="1:18" x14ac:dyDescent="0.3">
      <c r="A198">
        <v>197</v>
      </c>
      <c r="B198" t="s">
        <v>30</v>
      </c>
      <c r="C198" t="s">
        <v>341</v>
      </c>
      <c r="D198" t="str">
        <f>_xlfn.CONCAT(EmpTable[[#This Row],[First Name]],EmpTable[[#This Row],[Last Name]])</f>
        <v>AhmadSalih</v>
      </c>
      <c r="E198" t="s">
        <v>32</v>
      </c>
      <c r="F198" s="1">
        <v>43558</v>
      </c>
      <c r="G198" s="2">
        <f ca="1">DATEDIF(EmpTable[[#This Row],[Start Date]],TODAY(),"Y")</f>
        <v>6</v>
      </c>
      <c r="H198" s="2" t="str" cm="1">
        <f t="array" aca="1" ref="H198" ca="1">_xlfn.IFS(G198&lt;=1,"Fresh",G198&lt;=3,"Junior",G198&lt;=7,"Teamlead",G198&gt;=7,"manger")</f>
        <v>Teamlead</v>
      </c>
      <c r="I198" t="s">
        <v>17</v>
      </c>
      <c r="J198" t="s">
        <v>18</v>
      </c>
      <c r="K198" t="s">
        <v>42</v>
      </c>
      <c r="L198">
        <v>1467</v>
      </c>
      <c r="M198">
        <v>17604</v>
      </c>
      <c r="N198">
        <v>5</v>
      </c>
      <c r="O198" t="str" cm="1">
        <f t="array" ref="O198">_xlfn.IFS(EmpTable[[#This Row],[Job Rate]] &lt;=1,"LOW",N198&lt;=2,"LOW",N198&lt;=3,"MEDIUM",N198&gt;4,"HIGH")</f>
        <v>HIGH</v>
      </c>
      <c r="P198">
        <v>6</v>
      </c>
      <c r="Q198">
        <v>0</v>
      </c>
      <c r="R198">
        <v>0</v>
      </c>
    </row>
    <row r="199" spans="1:18" x14ac:dyDescent="0.3">
      <c r="A199">
        <v>198</v>
      </c>
      <c r="B199" t="s">
        <v>146</v>
      </c>
      <c r="C199" t="s">
        <v>221</v>
      </c>
      <c r="D199" t="str">
        <f>_xlfn.CONCAT(EmpTable[[#This Row],[First Name]],EmpTable[[#This Row],[Last Name]])</f>
        <v>IbrahimAlhamid</v>
      </c>
      <c r="E199" t="s">
        <v>32</v>
      </c>
      <c r="F199" s="1">
        <v>44141</v>
      </c>
      <c r="G199" s="2">
        <f ca="1">DATEDIF(EmpTable[[#This Row],[Start Date]],TODAY(),"Y")</f>
        <v>5</v>
      </c>
      <c r="H199" s="2" t="str" cm="1">
        <f t="array" aca="1" ref="H199" ca="1">_xlfn.IFS(G199&lt;=1,"Fresh",G199&lt;=3,"Junior",G199&lt;=7,"Teamlead",G199&gt;=7,"manger")</f>
        <v>Teamlead</v>
      </c>
      <c r="I199" t="s">
        <v>25</v>
      </c>
      <c r="J199" t="s">
        <v>294</v>
      </c>
      <c r="K199" t="s">
        <v>19</v>
      </c>
      <c r="L199">
        <v>997</v>
      </c>
      <c r="M199">
        <v>11964</v>
      </c>
      <c r="N199">
        <v>5</v>
      </c>
      <c r="O199" t="str" cm="1">
        <f t="array" ref="O199">_xlfn.IFS(EmpTable[[#This Row],[Job Rate]] &lt;=1,"LOW",N199&lt;=2,"LOW",N199&lt;=3,"MEDIUM",N199&gt;4,"HIGH")</f>
        <v>HIGH</v>
      </c>
      <c r="P199">
        <v>1</v>
      </c>
      <c r="Q199">
        <v>0</v>
      </c>
      <c r="R199">
        <v>68</v>
      </c>
    </row>
    <row r="200" spans="1:18" x14ac:dyDescent="0.3">
      <c r="A200">
        <v>199</v>
      </c>
      <c r="B200" t="s">
        <v>33</v>
      </c>
      <c r="C200" t="s">
        <v>342</v>
      </c>
      <c r="D200" t="str">
        <f>_xlfn.CONCAT(EmpTable[[#This Row],[First Name]],EmpTable[[#This Row],[Last Name]])</f>
        <v>MuhamadAlziyat</v>
      </c>
      <c r="E200" t="s">
        <v>32</v>
      </c>
      <c r="F200" s="1">
        <v>43705</v>
      </c>
      <c r="G200" s="2">
        <f ca="1">DATEDIF(EmpTable[[#This Row],[Start Date]],TODAY(),"Y")</f>
        <v>6</v>
      </c>
      <c r="H200" s="2" t="str" cm="1">
        <f t="array" aca="1" ref="H200" ca="1">_xlfn.IFS(G200&lt;=1,"Fresh",G200&lt;=3,"Junior",G200&lt;=7,"Teamlead",G200&gt;=7,"manger")</f>
        <v>Teamlead</v>
      </c>
      <c r="I200" t="s">
        <v>41</v>
      </c>
      <c r="J200" t="s">
        <v>22</v>
      </c>
      <c r="K200" t="s">
        <v>19</v>
      </c>
      <c r="L200">
        <v>1859</v>
      </c>
      <c r="M200">
        <v>22308</v>
      </c>
      <c r="N200">
        <v>5</v>
      </c>
      <c r="O200" t="str" cm="1">
        <f t="array" ref="O200">_xlfn.IFS(EmpTable[[#This Row],[Job Rate]] &lt;=1,"LOW",N200&lt;=2,"LOW",N200&lt;=3,"MEDIUM",N200&gt;4,"HIGH")</f>
        <v>HIGH</v>
      </c>
      <c r="P200">
        <v>5</v>
      </c>
      <c r="Q200">
        <v>0</v>
      </c>
      <c r="R200">
        <v>1</v>
      </c>
    </row>
    <row r="201" spans="1:18" x14ac:dyDescent="0.3">
      <c r="A201">
        <v>200</v>
      </c>
      <c r="B201" t="s">
        <v>186</v>
      </c>
      <c r="C201" t="s">
        <v>343</v>
      </c>
      <c r="D201" t="str">
        <f>_xlfn.CONCAT(EmpTable[[#This Row],[First Name]],EmpTable[[#This Row],[Last Name]])</f>
        <v>AliNhl</v>
      </c>
      <c r="E201" t="s">
        <v>32</v>
      </c>
      <c r="F201" s="1">
        <v>43711</v>
      </c>
      <c r="G201" s="2">
        <f ca="1">DATEDIF(EmpTable[[#This Row],[Start Date]],TODAY(),"Y")</f>
        <v>6</v>
      </c>
      <c r="H201" s="2" t="str" cm="1">
        <f t="array" aca="1" ref="H201" ca="1">_xlfn.IFS(G201&lt;=1,"Fresh",G201&lt;=3,"Junior",G201&lt;=7,"Teamlead",G201&gt;=7,"manger")</f>
        <v>Teamlead</v>
      </c>
      <c r="I201" t="s">
        <v>77</v>
      </c>
      <c r="J201" t="s">
        <v>18</v>
      </c>
      <c r="K201" t="s">
        <v>36</v>
      </c>
      <c r="L201">
        <v>1231</v>
      </c>
      <c r="M201">
        <v>14772</v>
      </c>
      <c r="N201">
        <v>1</v>
      </c>
      <c r="O201" t="str" cm="1">
        <f t="array" ref="O201">_xlfn.IFS(EmpTable[[#This Row],[Job Rate]] &lt;=1,"LOW",N201&lt;=2,"LOW",N201&lt;=3,"MEDIUM",N201&gt;4,"HIGH")</f>
        <v>LOW</v>
      </c>
      <c r="P201">
        <v>1</v>
      </c>
      <c r="Q201">
        <v>5</v>
      </c>
      <c r="R201">
        <v>7</v>
      </c>
    </row>
    <row r="202" spans="1:18" x14ac:dyDescent="0.3">
      <c r="A202">
        <v>201</v>
      </c>
      <c r="B202" t="s">
        <v>344</v>
      </c>
      <c r="C202" t="s">
        <v>345</v>
      </c>
      <c r="D202" t="str">
        <f>_xlfn.CONCAT(EmpTable[[#This Row],[First Name]],EmpTable[[#This Row],[Last Name]])</f>
        <v>SaedAlsiyah</v>
      </c>
      <c r="E202" t="s">
        <v>32</v>
      </c>
      <c r="F202" s="1">
        <v>43665</v>
      </c>
      <c r="G202" s="2">
        <f ca="1">DATEDIF(EmpTable[[#This Row],[Start Date]],TODAY(),"Y")</f>
        <v>6</v>
      </c>
      <c r="H202" s="2" t="str" cm="1">
        <f t="array" aca="1" ref="H202" ca="1">_xlfn.IFS(G202&lt;=1,"Fresh",G202&lt;=3,"Junior",G202&lt;=7,"Teamlead",G202&gt;=7,"manger")</f>
        <v>Teamlead</v>
      </c>
      <c r="I202" t="s">
        <v>28</v>
      </c>
      <c r="J202" t="s">
        <v>18</v>
      </c>
      <c r="K202" t="s">
        <v>42</v>
      </c>
      <c r="L202">
        <v>719</v>
      </c>
      <c r="M202">
        <v>8628</v>
      </c>
      <c r="N202">
        <v>5</v>
      </c>
      <c r="O202" t="str" cm="1">
        <f t="array" ref="O202">_xlfn.IFS(EmpTable[[#This Row],[Job Rate]] &lt;=1,"LOW",N202&lt;=2,"LOW",N202&lt;=3,"MEDIUM",N202&gt;4,"HIGH")</f>
        <v>HIGH</v>
      </c>
      <c r="P202">
        <v>0</v>
      </c>
      <c r="Q202">
        <v>0</v>
      </c>
      <c r="R202">
        <v>8</v>
      </c>
    </row>
    <row r="203" spans="1:18" x14ac:dyDescent="0.3">
      <c r="A203">
        <v>202</v>
      </c>
      <c r="B203" t="s">
        <v>346</v>
      </c>
      <c r="C203" t="s">
        <v>347</v>
      </c>
      <c r="D203" t="str">
        <f>_xlfn.CONCAT(EmpTable[[#This Row],[First Name]],EmpTable[[#This Row],[Last Name]])</f>
        <v>MajdyRafaea</v>
      </c>
      <c r="E203" t="s">
        <v>32</v>
      </c>
      <c r="F203" s="1">
        <v>43982</v>
      </c>
      <c r="G203" s="2">
        <f ca="1">DATEDIF(EmpTable[[#This Row],[Start Date]],TODAY(),"Y")</f>
        <v>5</v>
      </c>
      <c r="H203" s="2" t="str" cm="1">
        <f t="array" aca="1" ref="H203" ca="1">_xlfn.IFS(G203&lt;=1,"Fresh",G203&lt;=3,"Junior",G203&lt;=7,"Teamlead",G203&gt;=7,"manger")</f>
        <v>Teamlead</v>
      </c>
      <c r="I203" t="s">
        <v>93</v>
      </c>
      <c r="J203" t="s">
        <v>29</v>
      </c>
      <c r="K203" t="s">
        <v>42</v>
      </c>
      <c r="L203">
        <v>2186</v>
      </c>
      <c r="M203">
        <v>26232</v>
      </c>
      <c r="N203">
        <v>1</v>
      </c>
      <c r="O203" t="str" cm="1">
        <f t="array" ref="O203">_xlfn.IFS(EmpTable[[#This Row],[Job Rate]] &lt;=1,"LOW",N203&lt;=2,"LOW",N203&lt;=3,"MEDIUM",N203&gt;4,"HIGH")</f>
        <v>LOW</v>
      </c>
      <c r="P203">
        <v>2</v>
      </c>
      <c r="Q203">
        <v>0</v>
      </c>
      <c r="R203">
        <v>10</v>
      </c>
    </row>
    <row r="204" spans="1:18" x14ac:dyDescent="0.3">
      <c r="A204">
        <v>203</v>
      </c>
      <c r="B204" t="s">
        <v>348</v>
      </c>
      <c r="C204" t="s">
        <v>349</v>
      </c>
      <c r="D204" t="str">
        <f>_xlfn.CONCAT(EmpTable[[#This Row],[First Name]],EmpTable[[#This Row],[Last Name]])</f>
        <v>IhsanEazu</v>
      </c>
      <c r="E204" t="s">
        <v>32</v>
      </c>
      <c r="F204" s="1">
        <v>43603</v>
      </c>
      <c r="G204" s="2">
        <f ca="1">DATEDIF(EmpTable[[#This Row],[Start Date]],TODAY(),"Y")</f>
        <v>6</v>
      </c>
      <c r="H204" s="2" t="str" cm="1">
        <f t="array" aca="1" ref="H204" ca="1">_xlfn.IFS(G204&lt;=1,"Fresh",G204&lt;=3,"Junior",G204&lt;=7,"Teamlead",G204&gt;=7,"manger")</f>
        <v>Teamlead</v>
      </c>
      <c r="I204" t="s">
        <v>88</v>
      </c>
      <c r="J204" t="s">
        <v>18</v>
      </c>
      <c r="K204" t="s">
        <v>19</v>
      </c>
      <c r="L204">
        <v>1605</v>
      </c>
      <c r="M204">
        <v>19260</v>
      </c>
      <c r="N204">
        <v>4.5</v>
      </c>
      <c r="O204" t="str" cm="1">
        <f t="array" ref="O204">_xlfn.IFS(EmpTable[[#This Row],[Job Rate]] &lt;=1,"LOW",N204&lt;=2,"LOW",N204&lt;=3,"MEDIUM",N204&gt;4,"HIGH")</f>
        <v>HIGH</v>
      </c>
      <c r="P204">
        <v>5</v>
      </c>
      <c r="Q204">
        <v>4</v>
      </c>
      <c r="R204">
        <v>9</v>
      </c>
    </row>
    <row r="205" spans="1:18" x14ac:dyDescent="0.3">
      <c r="A205">
        <v>204</v>
      </c>
      <c r="B205" t="s">
        <v>49</v>
      </c>
      <c r="C205" t="s">
        <v>350</v>
      </c>
      <c r="D205" t="str">
        <f>_xlfn.CONCAT(EmpTable[[#This Row],[First Name]],EmpTable[[#This Row],[Last Name]])</f>
        <v>IadAlshaykh</v>
      </c>
      <c r="E205" t="s">
        <v>32</v>
      </c>
      <c r="F205" s="1">
        <v>43237</v>
      </c>
      <c r="G205" s="2">
        <f ca="1">DATEDIF(EmpTable[[#This Row],[Start Date]],TODAY(),"Y")</f>
        <v>7</v>
      </c>
      <c r="H205" s="2" t="str" cm="1">
        <f t="array" aca="1" ref="H205" ca="1">_xlfn.IFS(G205&lt;=1,"Fresh",G205&lt;=3,"Junior",G205&lt;=7,"Teamlead",G205&gt;=7,"manger")</f>
        <v>Teamlead</v>
      </c>
      <c r="I205" t="s">
        <v>53</v>
      </c>
      <c r="J205" t="s">
        <v>18</v>
      </c>
      <c r="K205" t="s">
        <v>42</v>
      </c>
      <c r="L205">
        <v>2365</v>
      </c>
      <c r="M205">
        <v>28380</v>
      </c>
      <c r="N205">
        <v>1</v>
      </c>
      <c r="O205" t="str" cm="1">
        <f t="array" ref="O205">_xlfn.IFS(EmpTable[[#This Row],[Job Rate]] &lt;=1,"LOW",N205&lt;=2,"LOW",N205&lt;=3,"MEDIUM",N205&gt;4,"HIGH")</f>
        <v>LOW</v>
      </c>
      <c r="P205">
        <v>0</v>
      </c>
      <c r="Q205">
        <v>0</v>
      </c>
      <c r="R205">
        <v>73</v>
      </c>
    </row>
    <row r="206" spans="1:18" x14ac:dyDescent="0.3">
      <c r="A206">
        <v>205</v>
      </c>
      <c r="B206" t="s">
        <v>351</v>
      </c>
      <c r="C206" t="s">
        <v>352</v>
      </c>
      <c r="D206" t="str">
        <f>_xlfn.CONCAT(EmpTable[[#This Row],[First Name]],EmpTable[[#This Row],[Last Name]])</f>
        <v>BaraAlrrashid</v>
      </c>
      <c r="E206" t="s">
        <v>32</v>
      </c>
      <c r="F206" s="1">
        <v>42842</v>
      </c>
      <c r="G206" s="2">
        <f ca="1">DATEDIF(EmpTable[[#This Row],[Start Date]],TODAY(),"Y")</f>
        <v>8</v>
      </c>
      <c r="H206" s="2" t="str" cm="1">
        <f t="array" aca="1" ref="H206" ca="1">_xlfn.IFS(G206&lt;=1,"Fresh",G206&lt;=3,"Junior",G206&lt;=7,"Teamlead",G206&gt;=7,"manger")</f>
        <v>manger</v>
      </c>
      <c r="I206" t="s">
        <v>353</v>
      </c>
      <c r="J206" t="s">
        <v>48</v>
      </c>
      <c r="K206" t="s">
        <v>42</v>
      </c>
      <c r="L206">
        <v>1096</v>
      </c>
      <c r="M206">
        <v>13152</v>
      </c>
      <c r="N206">
        <v>4.5</v>
      </c>
      <c r="O206" t="str" cm="1">
        <f t="array" ref="O206">_xlfn.IFS(EmpTable[[#This Row],[Job Rate]] &lt;=1,"LOW",N206&lt;=2,"LOW",N206&lt;=3,"MEDIUM",N206&gt;4,"HIGH")</f>
        <v>HIGH</v>
      </c>
      <c r="P206">
        <v>4</v>
      </c>
      <c r="Q206">
        <v>0</v>
      </c>
      <c r="R206">
        <v>8</v>
      </c>
    </row>
    <row r="207" spans="1:18" x14ac:dyDescent="0.3">
      <c r="A207">
        <v>206</v>
      </c>
      <c r="B207" t="s">
        <v>197</v>
      </c>
      <c r="C207" t="s">
        <v>354</v>
      </c>
      <c r="D207" t="str">
        <f>_xlfn.CONCAT(EmpTable[[#This Row],[First Name]],EmpTable[[#This Row],[Last Name]])</f>
        <v>FadiNuna</v>
      </c>
      <c r="E207" t="s">
        <v>32</v>
      </c>
      <c r="F207" s="1">
        <v>43654</v>
      </c>
      <c r="G207" s="2">
        <f ca="1">DATEDIF(EmpTable[[#This Row],[Start Date]],TODAY(),"Y")</f>
        <v>6</v>
      </c>
      <c r="H207" s="2" t="str" cm="1">
        <f t="array" aca="1" ref="H207" ca="1">_xlfn.IFS(G207&lt;=1,"Fresh",G207&lt;=3,"Junior",G207&lt;=7,"Teamlead",G207&gt;=7,"manger")</f>
        <v>Teamlead</v>
      </c>
      <c r="I207" t="s">
        <v>53</v>
      </c>
      <c r="J207" t="s">
        <v>18</v>
      </c>
      <c r="K207" t="s">
        <v>36</v>
      </c>
      <c r="L207">
        <v>1037</v>
      </c>
      <c r="M207">
        <v>12444</v>
      </c>
      <c r="N207">
        <v>3</v>
      </c>
      <c r="O207" t="str" cm="1">
        <f t="array" ref="O207">_xlfn.IFS(EmpTable[[#This Row],[Job Rate]] &lt;=1,"LOW",N207&lt;=2,"LOW",N207&lt;=3,"MEDIUM",N207&gt;4,"HIGH")</f>
        <v>MEDIUM</v>
      </c>
      <c r="P207">
        <v>6</v>
      </c>
      <c r="Q207">
        <v>0</v>
      </c>
      <c r="R207">
        <v>5</v>
      </c>
    </row>
    <row r="208" spans="1:18" x14ac:dyDescent="0.3">
      <c r="A208">
        <v>207</v>
      </c>
      <c r="B208" t="s">
        <v>33</v>
      </c>
      <c r="C208" t="s">
        <v>161</v>
      </c>
      <c r="D208" t="str">
        <f>_xlfn.CONCAT(EmpTable[[#This Row],[First Name]],EmpTable[[#This Row],[Last Name]])</f>
        <v>MuhamadSalah</v>
      </c>
      <c r="E208" t="s">
        <v>32</v>
      </c>
      <c r="F208" s="1">
        <v>44168</v>
      </c>
      <c r="G208" s="2">
        <f ca="1">DATEDIF(EmpTable[[#This Row],[Start Date]],TODAY(),"Y")</f>
        <v>5</v>
      </c>
      <c r="H208" s="2" t="str" cm="1">
        <f t="array" aca="1" ref="H208" ca="1">_xlfn.IFS(G208&lt;=1,"Fresh",G208&lt;=3,"Junior",G208&lt;=7,"Teamlead",G208&gt;=7,"manger")</f>
        <v>Teamlead</v>
      </c>
      <c r="I208" t="s">
        <v>53</v>
      </c>
      <c r="J208" t="s">
        <v>48</v>
      </c>
      <c r="K208" t="s">
        <v>19</v>
      </c>
      <c r="L208">
        <v>1757</v>
      </c>
      <c r="M208">
        <v>21084</v>
      </c>
      <c r="N208">
        <v>2</v>
      </c>
      <c r="O208" t="str" cm="1">
        <f t="array" ref="O208">_xlfn.IFS(EmpTable[[#This Row],[Job Rate]] &lt;=1,"LOW",N208&lt;=2,"LOW",N208&lt;=3,"MEDIUM",N208&gt;4,"HIGH")</f>
        <v>LOW</v>
      </c>
      <c r="P208">
        <v>6</v>
      </c>
      <c r="Q208">
        <v>0</v>
      </c>
      <c r="R208">
        <v>13</v>
      </c>
    </row>
    <row r="209" spans="1:18" x14ac:dyDescent="0.3">
      <c r="A209">
        <v>208</v>
      </c>
      <c r="B209" t="s">
        <v>355</v>
      </c>
      <c r="C209" t="s">
        <v>356</v>
      </c>
      <c r="D209" t="str">
        <f>_xlfn.CONCAT(EmpTable[[#This Row],[First Name]],EmpTable[[#This Row],[Last Name]])</f>
        <v>BimaMustafaa</v>
      </c>
      <c r="E209" t="s">
        <v>307</v>
      </c>
      <c r="F209" s="1">
        <v>44138</v>
      </c>
      <c r="G209" s="2">
        <f ca="1">DATEDIF(EmpTable[[#This Row],[Start Date]],TODAY(),"Y")</f>
        <v>5</v>
      </c>
      <c r="H209" s="2" t="str" cm="1">
        <f t="array" aca="1" ref="H209" ca="1">_xlfn.IFS(G209&lt;=1,"Fresh",G209&lt;=3,"Junior",G209&lt;=7,"Teamlead",G209&gt;=7,"manger")</f>
        <v>Teamlead</v>
      </c>
      <c r="I209" t="s">
        <v>77</v>
      </c>
      <c r="J209" t="s">
        <v>18</v>
      </c>
      <c r="K209" t="s">
        <v>42</v>
      </c>
      <c r="L209">
        <v>3405</v>
      </c>
      <c r="M209">
        <v>40860</v>
      </c>
      <c r="N209">
        <v>5</v>
      </c>
      <c r="O209" t="str" cm="1">
        <f t="array" ref="O209">_xlfn.IFS(EmpTable[[#This Row],[Job Rate]] &lt;=1,"LOW",N209&lt;=2,"LOW",N209&lt;=3,"MEDIUM",N209&gt;4,"HIGH")</f>
        <v>HIGH</v>
      </c>
      <c r="P209">
        <v>0</v>
      </c>
      <c r="Q209">
        <v>0</v>
      </c>
      <c r="R209">
        <v>1</v>
      </c>
    </row>
    <row r="210" spans="1:18" x14ac:dyDescent="0.3">
      <c r="A210">
        <v>209</v>
      </c>
      <c r="B210" t="s">
        <v>357</v>
      </c>
      <c r="C210" t="s">
        <v>358</v>
      </c>
      <c r="D210" t="str">
        <f>_xlfn.CONCAT(EmpTable[[#This Row],[First Name]],EmpTable[[#This Row],[Last Name]])</f>
        <v>HusamAbu Shwmr</v>
      </c>
      <c r="E210" t="s">
        <v>32</v>
      </c>
      <c r="F210" s="1">
        <v>43262</v>
      </c>
      <c r="G210" s="2">
        <f ca="1">DATEDIF(EmpTable[[#This Row],[Start Date]],TODAY(),"Y")</f>
        <v>7</v>
      </c>
      <c r="H210" s="2" t="str" cm="1">
        <f t="array" aca="1" ref="H210" ca="1">_xlfn.IFS(G210&lt;=1,"Fresh",G210&lt;=3,"Junior",G210&lt;=7,"Teamlead",G210&gt;=7,"manger")</f>
        <v>Teamlead</v>
      </c>
      <c r="I210" t="s">
        <v>41</v>
      </c>
      <c r="J210" t="s">
        <v>29</v>
      </c>
      <c r="K210" t="s">
        <v>19</v>
      </c>
      <c r="L210">
        <v>2154</v>
      </c>
      <c r="M210">
        <v>25848</v>
      </c>
      <c r="N210">
        <v>5</v>
      </c>
      <c r="O210" t="str" cm="1">
        <f t="array" ref="O210">_xlfn.IFS(EmpTable[[#This Row],[Job Rate]] &lt;=1,"LOW",N210&lt;=2,"LOW",N210&lt;=3,"MEDIUM",N210&gt;4,"HIGH")</f>
        <v>HIGH</v>
      </c>
      <c r="P210">
        <v>0</v>
      </c>
      <c r="Q210">
        <v>0</v>
      </c>
      <c r="R210">
        <v>0</v>
      </c>
    </row>
    <row r="211" spans="1:18" x14ac:dyDescent="0.3">
      <c r="A211">
        <v>210</v>
      </c>
      <c r="B211" t="s">
        <v>359</v>
      </c>
      <c r="C211" t="s">
        <v>360</v>
      </c>
      <c r="D211" t="str">
        <f>_xlfn.CONCAT(EmpTable[[#This Row],[First Name]],EmpTable[[#This Row],[Last Name]])</f>
        <v>AbdalrahminTurkmany</v>
      </c>
      <c r="E211" t="s">
        <v>32</v>
      </c>
      <c r="F211" s="1">
        <v>43508</v>
      </c>
      <c r="G211" s="2">
        <f ca="1">DATEDIF(EmpTable[[#This Row],[Start Date]],TODAY(),"Y")</f>
        <v>7</v>
      </c>
      <c r="H211" s="2" t="str" cm="1">
        <f t="array" aca="1" ref="H211" ca="1">_xlfn.IFS(G211&lt;=1,"Fresh",G211&lt;=3,"Junior",G211&lt;=7,"Teamlead",G211&gt;=7,"manger")</f>
        <v>Teamlead</v>
      </c>
      <c r="I211" t="s">
        <v>58</v>
      </c>
      <c r="J211" t="s">
        <v>18</v>
      </c>
      <c r="K211" t="s">
        <v>42</v>
      </c>
      <c r="L211">
        <v>805</v>
      </c>
      <c r="M211">
        <v>9660</v>
      </c>
      <c r="N211">
        <v>2</v>
      </c>
      <c r="O211" t="str" cm="1">
        <f t="array" ref="O211">_xlfn.IFS(EmpTable[[#This Row],[Job Rate]] &lt;=1,"LOW",N211&lt;=2,"LOW",N211&lt;=3,"MEDIUM",N211&gt;4,"HIGH")</f>
        <v>LOW</v>
      </c>
      <c r="P211">
        <v>0</v>
      </c>
      <c r="Q211">
        <v>0</v>
      </c>
      <c r="R211">
        <v>6</v>
      </c>
    </row>
    <row r="212" spans="1:18" x14ac:dyDescent="0.3">
      <c r="A212">
        <v>211</v>
      </c>
      <c r="B212" t="s">
        <v>361</v>
      </c>
      <c r="C212" t="s">
        <v>362</v>
      </c>
      <c r="D212" t="str">
        <f>_xlfn.CONCAT(EmpTable[[#This Row],[First Name]],EmpTable[[#This Row],[Last Name]])</f>
        <v>MajdulynAlhakim</v>
      </c>
      <c r="E212" t="s">
        <v>307</v>
      </c>
      <c r="F212" s="1">
        <v>43376</v>
      </c>
      <c r="G212" s="2">
        <f ca="1">DATEDIF(EmpTable[[#This Row],[Start Date]],TODAY(),"Y")</f>
        <v>7</v>
      </c>
      <c r="H212" s="2" t="str" cm="1">
        <f t="array" aca="1" ref="H212" ca="1">_xlfn.IFS(G212&lt;=1,"Fresh",G212&lt;=3,"Junior",G212&lt;=7,"Teamlead",G212&gt;=7,"manger")</f>
        <v>Teamlead</v>
      </c>
      <c r="I212" t="s">
        <v>200</v>
      </c>
      <c r="J212" t="s">
        <v>18</v>
      </c>
      <c r="K212" t="s">
        <v>42</v>
      </c>
      <c r="L212">
        <v>3093</v>
      </c>
      <c r="M212">
        <v>37116</v>
      </c>
      <c r="N212">
        <v>4.5</v>
      </c>
      <c r="O212" t="str" cm="1">
        <f t="array" ref="O212">_xlfn.IFS(EmpTable[[#This Row],[Job Rate]] &lt;=1,"LOW",N212&lt;=2,"LOW",N212&lt;=3,"MEDIUM",N212&gt;4,"HIGH")</f>
        <v>HIGH</v>
      </c>
      <c r="P212">
        <v>0</v>
      </c>
      <c r="Q212">
        <v>0</v>
      </c>
      <c r="R212">
        <v>10</v>
      </c>
    </row>
    <row r="213" spans="1:18" x14ac:dyDescent="0.3">
      <c r="A213">
        <v>212</v>
      </c>
      <c r="B213" t="s">
        <v>30</v>
      </c>
      <c r="C213" t="s">
        <v>363</v>
      </c>
      <c r="D213" t="str">
        <f>_xlfn.CONCAT(EmpTable[[#This Row],[First Name]],EmpTable[[#This Row],[Last Name]])</f>
        <v>AhmadAbu Jaysh</v>
      </c>
      <c r="E213" t="s">
        <v>32</v>
      </c>
      <c r="F213" s="1">
        <v>42957</v>
      </c>
      <c r="G213" s="2">
        <f ca="1">DATEDIF(EmpTable[[#This Row],[Start Date]],TODAY(),"Y")</f>
        <v>8</v>
      </c>
      <c r="H213" s="2" t="str" cm="1">
        <f t="array" aca="1" ref="H213" ca="1">_xlfn.IFS(G213&lt;=1,"Fresh",G213&lt;=3,"Junior",G213&lt;=7,"Teamlead",G213&gt;=7,"manger")</f>
        <v>manger</v>
      </c>
      <c r="I213" t="s">
        <v>118</v>
      </c>
      <c r="J213" t="s">
        <v>22</v>
      </c>
      <c r="K213" t="s">
        <v>19</v>
      </c>
      <c r="L213">
        <v>1039</v>
      </c>
      <c r="M213">
        <v>12468</v>
      </c>
      <c r="N213">
        <v>3</v>
      </c>
      <c r="O213" t="str" cm="1">
        <f t="array" ref="O213">_xlfn.IFS(EmpTable[[#This Row],[Job Rate]] &lt;=1,"LOW",N213&lt;=2,"LOW",N213&lt;=3,"MEDIUM",N213&gt;4,"HIGH")</f>
        <v>MEDIUM</v>
      </c>
      <c r="P213">
        <v>2</v>
      </c>
      <c r="Q213">
        <v>0</v>
      </c>
      <c r="R213">
        <v>87</v>
      </c>
    </row>
    <row r="214" spans="1:18" x14ac:dyDescent="0.3">
      <c r="A214">
        <v>213</v>
      </c>
      <c r="B214" t="s">
        <v>364</v>
      </c>
      <c r="C214" t="s">
        <v>365</v>
      </c>
      <c r="D214" t="str">
        <f>_xlfn.CONCAT(EmpTable[[#This Row],[First Name]],EmpTable[[#This Row],[Last Name]])</f>
        <v>MajidAleusud</v>
      </c>
      <c r="E214" t="s">
        <v>32</v>
      </c>
      <c r="F214" s="1">
        <v>43792</v>
      </c>
      <c r="G214" s="2">
        <f ca="1">DATEDIF(EmpTable[[#This Row],[Start Date]],TODAY(),"Y")</f>
        <v>6</v>
      </c>
      <c r="H214" s="2" t="str" cm="1">
        <f t="array" aca="1" ref="H214" ca="1">_xlfn.IFS(G214&lt;=1,"Fresh",G214&lt;=3,"Junior",G214&lt;=7,"Teamlead",G214&gt;=7,"manger")</f>
        <v>Teamlead</v>
      </c>
      <c r="I214" t="s">
        <v>41</v>
      </c>
      <c r="J214" t="s">
        <v>18</v>
      </c>
      <c r="K214" t="s">
        <v>19</v>
      </c>
      <c r="L214">
        <v>1012</v>
      </c>
      <c r="M214">
        <v>12144</v>
      </c>
      <c r="N214">
        <v>3</v>
      </c>
      <c r="O214" t="str" cm="1">
        <f t="array" ref="O214">_xlfn.IFS(EmpTable[[#This Row],[Job Rate]] &lt;=1,"LOW",N214&lt;=2,"LOW",N214&lt;=3,"MEDIUM",N214&gt;4,"HIGH")</f>
        <v>MEDIUM</v>
      </c>
      <c r="P214">
        <v>1</v>
      </c>
      <c r="Q214">
        <v>0</v>
      </c>
      <c r="R214">
        <v>7</v>
      </c>
    </row>
    <row r="215" spans="1:18" x14ac:dyDescent="0.3">
      <c r="A215">
        <v>214</v>
      </c>
      <c r="B215" t="s">
        <v>223</v>
      </c>
      <c r="C215" t="s">
        <v>366</v>
      </c>
      <c r="D215" t="str">
        <f>_xlfn.CONCAT(EmpTable[[#This Row],[First Name]],EmpTable[[#This Row],[Last Name]])</f>
        <v>BashsharShakhashiru</v>
      </c>
      <c r="E215" t="s">
        <v>32</v>
      </c>
      <c r="F215" s="1">
        <v>42899</v>
      </c>
      <c r="G215" s="2">
        <f ca="1">DATEDIF(EmpTable[[#This Row],[Start Date]],TODAY(),"Y")</f>
        <v>8</v>
      </c>
      <c r="H215" s="2" t="str" cm="1">
        <f t="array" aca="1" ref="H215" ca="1">_xlfn.IFS(G215&lt;=1,"Fresh",G215&lt;=3,"Junior",G215&lt;=7,"Teamlead",G215&gt;=7,"manger")</f>
        <v>manger</v>
      </c>
      <c r="I215" t="s">
        <v>39</v>
      </c>
      <c r="J215" t="s">
        <v>18</v>
      </c>
      <c r="K215" t="s">
        <v>42</v>
      </c>
      <c r="L215">
        <v>2216</v>
      </c>
      <c r="M215">
        <v>26592</v>
      </c>
      <c r="N215">
        <v>2</v>
      </c>
      <c r="O215" t="str" cm="1">
        <f t="array" ref="O215">_xlfn.IFS(EmpTable[[#This Row],[Job Rate]] &lt;=1,"LOW",N215&lt;=2,"LOW",N215&lt;=3,"MEDIUM",N215&gt;4,"HIGH")</f>
        <v>LOW</v>
      </c>
      <c r="P215">
        <v>0</v>
      </c>
      <c r="Q215">
        <v>0</v>
      </c>
      <c r="R215">
        <v>11</v>
      </c>
    </row>
    <row r="216" spans="1:18" x14ac:dyDescent="0.3">
      <c r="A216">
        <v>215</v>
      </c>
      <c r="B216" t="s">
        <v>367</v>
      </c>
      <c r="C216" t="s">
        <v>350</v>
      </c>
      <c r="D216" t="str">
        <f>_xlfn.CONCAT(EmpTable[[#This Row],[First Name]],EmpTable[[#This Row],[Last Name]])</f>
        <v>MalikAlshaykh</v>
      </c>
      <c r="E216" t="s">
        <v>32</v>
      </c>
      <c r="F216" s="1">
        <v>44163</v>
      </c>
      <c r="G216" s="2">
        <f ca="1">DATEDIF(EmpTable[[#This Row],[Start Date]],TODAY(),"Y")</f>
        <v>5</v>
      </c>
      <c r="H216" s="2" t="str" cm="1">
        <f t="array" aca="1" ref="H216" ca="1">_xlfn.IFS(G216&lt;=1,"Fresh",G216&lt;=3,"Junior",G216&lt;=7,"Teamlead",G216&gt;=7,"manger")</f>
        <v>Teamlead</v>
      </c>
      <c r="I216" t="s">
        <v>77</v>
      </c>
      <c r="J216" t="s">
        <v>18</v>
      </c>
      <c r="K216" t="s">
        <v>60</v>
      </c>
      <c r="L216">
        <v>2020</v>
      </c>
      <c r="M216">
        <v>24240</v>
      </c>
      <c r="N216">
        <v>4.5</v>
      </c>
      <c r="O216" t="str" cm="1">
        <f t="array" ref="O216">_xlfn.IFS(EmpTable[[#This Row],[Job Rate]] &lt;=1,"LOW",N216&lt;=2,"LOW",N216&lt;=3,"MEDIUM",N216&gt;4,"HIGH")</f>
        <v>HIGH</v>
      </c>
      <c r="P216">
        <v>0</v>
      </c>
      <c r="Q216">
        <v>5</v>
      </c>
      <c r="R216">
        <v>0</v>
      </c>
    </row>
    <row r="217" spans="1:18" x14ac:dyDescent="0.3">
      <c r="A217">
        <v>216</v>
      </c>
      <c r="B217" t="s">
        <v>20</v>
      </c>
      <c r="C217" t="s">
        <v>368</v>
      </c>
      <c r="D217" t="str">
        <f>_xlfn.CONCAT(EmpTable[[#This Row],[First Name]],EmpTable[[#This Row],[Last Name]])</f>
        <v>OmarZarzur</v>
      </c>
      <c r="E217" t="s">
        <v>32</v>
      </c>
      <c r="F217" s="1">
        <v>42680</v>
      </c>
      <c r="G217" s="2">
        <f ca="1">DATEDIF(EmpTable[[#This Row],[Start Date]],TODAY(),"Y")</f>
        <v>9</v>
      </c>
      <c r="H217" s="2" t="str" cm="1">
        <f t="array" aca="1" ref="H217" ca="1">_xlfn.IFS(G217&lt;=1,"Fresh",G217&lt;=3,"Junior",G217&lt;=7,"Teamlead",G217&gt;=7,"manger")</f>
        <v>manger</v>
      </c>
      <c r="I217" t="s">
        <v>35</v>
      </c>
      <c r="J217" t="s">
        <v>29</v>
      </c>
      <c r="K217" t="s">
        <v>36</v>
      </c>
      <c r="L217">
        <v>3309</v>
      </c>
      <c r="M217">
        <v>39708</v>
      </c>
      <c r="N217">
        <v>4.5</v>
      </c>
      <c r="O217" t="str" cm="1">
        <f t="array" ref="O217">_xlfn.IFS(EmpTable[[#This Row],[Job Rate]] &lt;=1,"LOW",N217&lt;=2,"LOW",N217&lt;=3,"MEDIUM",N217&gt;4,"HIGH")</f>
        <v>HIGH</v>
      </c>
      <c r="P217">
        <v>1</v>
      </c>
      <c r="Q217">
        <v>0</v>
      </c>
      <c r="R217">
        <v>7</v>
      </c>
    </row>
    <row r="218" spans="1:18" x14ac:dyDescent="0.3">
      <c r="A218">
        <v>217</v>
      </c>
      <c r="B218" t="s">
        <v>369</v>
      </c>
      <c r="C218" t="s">
        <v>370</v>
      </c>
      <c r="D218" t="str">
        <f>_xlfn.CONCAT(EmpTable[[#This Row],[First Name]],EmpTable[[#This Row],[Last Name]])</f>
        <v>HasanIismaeil</v>
      </c>
      <c r="E218" t="s">
        <v>32</v>
      </c>
      <c r="F218" s="1">
        <v>43956</v>
      </c>
      <c r="G218" s="2">
        <f ca="1">DATEDIF(EmpTable[[#This Row],[Start Date]],TODAY(),"Y")</f>
        <v>5</v>
      </c>
      <c r="H218" s="2" t="str" cm="1">
        <f t="array" aca="1" ref="H218" ca="1">_xlfn.IFS(G218&lt;=1,"Fresh",G218&lt;=3,"Junior",G218&lt;=7,"Teamlead",G218&gt;=7,"manger")</f>
        <v>Teamlead</v>
      </c>
      <c r="I218" t="s">
        <v>41</v>
      </c>
      <c r="J218" t="s">
        <v>29</v>
      </c>
      <c r="K218" t="s">
        <v>36</v>
      </c>
      <c r="L218">
        <v>983</v>
      </c>
      <c r="M218">
        <v>11796</v>
      </c>
      <c r="N218">
        <v>2</v>
      </c>
      <c r="O218" t="str" cm="1">
        <f t="array" ref="O218">_xlfn.IFS(EmpTable[[#This Row],[Job Rate]] &lt;=1,"LOW",N218&lt;=2,"LOW",N218&lt;=3,"MEDIUM",N218&gt;4,"HIGH")</f>
        <v>LOW</v>
      </c>
      <c r="P218">
        <v>6</v>
      </c>
      <c r="Q218">
        <v>0</v>
      </c>
      <c r="R218">
        <v>0</v>
      </c>
    </row>
    <row r="219" spans="1:18" x14ac:dyDescent="0.3">
      <c r="A219">
        <v>218</v>
      </c>
      <c r="B219" t="s">
        <v>64</v>
      </c>
      <c r="C219" t="s">
        <v>371</v>
      </c>
      <c r="D219" t="str">
        <f>_xlfn.CONCAT(EmpTable[[#This Row],[First Name]],EmpTable[[#This Row],[Last Name]])</f>
        <v>HusaynAbu Nasir</v>
      </c>
      <c r="E219" t="s">
        <v>32</v>
      </c>
      <c r="F219" s="1">
        <v>43184</v>
      </c>
      <c r="G219" s="2">
        <f ca="1">DATEDIF(EmpTable[[#This Row],[Start Date]],TODAY(),"Y")</f>
        <v>8</v>
      </c>
      <c r="H219" s="2" t="str" cm="1">
        <f t="array" aca="1" ref="H219" ca="1">_xlfn.IFS(G219&lt;=1,"Fresh",G219&lt;=3,"Junior",G219&lt;=7,"Teamlead",G219&gt;=7,"manger")</f>
        <v>manger</v>
      </c>
      <c r="I219" t="s">
        <v>28</v>
      </c>
      <c r="J219" t="s">
        <v>18</v>
      </c>
      <c r="K219" t="s">
        <v>42</v>
      </c>
      <c r="L219">
        <v>741</v>
      </c>
      <c r="M219">
        <v>8892</v>
      </c>
      <c r="N219">
        <v>3</v>
      </c>
      <c r="O219" t="str" cm="1">
        <f t="array" ref="O219">_xlfn.IFS(EmpTable[[#This Row],[Job Rate]] &lt;=1,"LOW",N219&lt;=2,"LOW",N219&lt;=3,"MEDIUM",N219&gt;4,"HIGH")</f>
        <v>MEDIUM</v>
      </c>
      <c r="P219">
        <v>0</v>
      </c>
      <c r="Q219">
        <v>0</v>
      </c>
      <c r="R219">
        <v>1</v>
      </c>
    </row>
    <row r="220" spans="1:18" x14ac:dyDescent="0.3">
      <c r="A220">
        <v>219</v>
      </c>
      <c r="B220" t="s">
        <v>170</v>
      </c>
      <c r="C220" t="s">
        <v>372</v>
      </c>
      <c r="D220" t="str">
        <f>_xlfn.CONCAT(EmpTable[[#This Row],[First Name]],EmpTable[[#This Row],[Last Name]])</f>
        <v>MazinEarabi</v>
      </c>
      <c r="E220" t="s">
        <v>32</v>
      </c>
      <c r="F220" s="1">
        <v>42626</v>
      </c>
      <c r="G220" s="2">
        <f ca="1">DATEDIF(EmpTable[[#This Row],[Start Date]],TODAY(),"Y")</f>
        <v>9</v>
      </c>
      <c r="H220" s="2" t="str" cm="1">
        <f t="array" aca="1" ref="H220" ca="1">_xlfn.IFS(G220&lt;=1,"Fresh",G220&lt;=3,"Junior",G220&lt;=7,"Teamlead",G220&gt;=7,"manger")</f>
        <v>manger</v>
      </c>
      <c r="I220" t="s">
        <v>41</v>
      </c>
      <c r="J220" t="s">
        <v>29</v>
      </c>
      <c r="K220" t="s">
        <v>42</v>
      </c>
      <c r="L220">
        <v>1171</v>
      </c>
      <c r="M220">
        <v>14052</v>
      </c>
      <c r="N220">
        <v>4.5</v>
      </c>
      <c r="O220" t="str" cm="1">
        <f t="array" ref="O220">_xlfn.IFS(EmpTable[[#This Row],[Job Rate]] &lt;=1,"LOW",N220&lt;=2,"LOW",N220&lt;=3,"MEDIUM",N220&gt;4,"HIGH")</f>
        <v>HIGH</v>
      </c>
      <c r="P220">
        <v>0</v>
      </c>
      <c r="Q220">
        <v>0</v>
      </c>
      <c r="R220">
        <v>0</v>
      </c>
    </row>
    <row r="221" spans="1:18" x14ac:dyDescent="0.3">
      <c r="A221">
        <v>220</v>
      </c>
      <c r="B221" t="s">
        <v>373</v>
      </c>
      <c r="C221" t="s">
        <v>374</v>
      </c>
      <c r="D221" t="str">
        <f>_xlfn.CONCAT(EmpTable[[#This Row],[First Name]],EmpTable[[#This Row],[Last Name]])</f>
        <v>ZahirEisaa</v>
      </c>
      <c r="E221" t="s">
        <v>32</v>
      </c>
      <c r="F221" s="1">
        <v>43817</v>
      </c>
      <c r="G221" s="2">
        <f ca="1">DATEDIF(EmpTable[[#This Row],[Start Date]],TODAY(),"Y")</f>
        <v>6</v>
      </c>
      <c r="H221" s="2" t="str" cm="1">
        <f t="array" aca="1" ref="H221" ca="1">_xlfn.IFS(G221&lt;=1,"Fresh",G221&lt;=3,"Junior",G221&lt;=7,"Teamlead",G221&gt;=7,"manger")</f>
        <v>Teamlead</v>
      </c>
      <c r="I221" t="s">
        <v>77</v>
      </c>
      <c r="J221" t="s">
        <v>18</v>
      </c>
      <c r="K221" t="s">
        <v>36</v>
      </c>
      <c r="L221">
        <v>2512</v>
      </c>
      <c r="M221">
        <v>30144</v>
      </c>
      <c r="N221">
        <v>5</v>
      </c>
      <c r="O221" t="str" cm="1">
        <f t="array" ref="O221">_xlfn.IFS(EmpTable[[#This Row],[Job Rate]] &lt;=1,"LOW",N221&lt;=2,"LOW",N221&lt;=3,"MEDIUM",N221&gt;4,"HIGH")</f>
        <v>HIGH</v>
      </c>
      <c r="P221">
        <v>6</v>
      </c>
      <c r="Q221">
        <v>0</v>
      </c>
      <c r="R221">
        <v>10</v>
      </c>
    </row>
    <row r="222" spans="1:18" x14ac:dyDescent="0.3">
      <c r="A222">
        <v>221</v>
      </c>
      <c r="B222" t="s">
        <v>375</v>
      </c>
      <c r="C222" t="s">
        <v>376</v>
      </c>
      <c r="D222" t="str">
        <f>_xlfn.CONCAT(EmpTable[[#This Row],[First Name]],EmpTable[[#This Row],[Last Name]])</f>
        <v>LamaSabiq</v>
      </c>
      <c r="E222" t="s">
        <v>307</v>
      </c>
      <c r="F222" s="1">
        <v>43553</v>
      </c>
      <c r="G222" s="2">
        <f ca="1">DATEDIF(EmpTable[[#This Row],[Start Date]],TODAY(),"Y")</f>
        <v>7</v>
      </c>
      <c r="H222" s="2" t="str" cm="1">
        <f t="array" aca="1" ref="H222" ca="1">_xlfn.IFS(G222&lt;=1,"Fresh",G222&lt;=3,"Junior",G222&lt;=7,"Teamlead",G222&gt;=7,"manger")</f>
        <v>Teamlead</v>
      </c>
      <c r="I222" t="s">
        <v>17</v>
      </c>
      <c r="J222" t="s">
        <v>18</v>
      </c>
      <c r="K222" t="s">
        <v>19</v>
      </c>
      <c r="L222">
        <v>1608</v>
      </c>
      <c r="M222">
        <v>19296</v>
      </c>
      <c r="N222">
        <v>1</v>
      </c>
      <c r="O222" t="str" cm="1">
        <f t="array" ref="O222">_xlfn.IFS(EmpTable[[#This Row],[Job Rate]] &lt;=1,"LOW",N222&lt;=2,"LOW",N222&lt;=3,"MEDIUM",N222&gt;4,"HIGH")</f>
        <v>LOW</v>
      </c>
      <c r="P222">
        <v>0</v>
      </c>
      <c r="Q222">
        <v>3</v>
      </c>
      <c r="R222">
        <v>4</v>
      </c>
    </row>
    <row r="223" spans="1:18" x14ac:dyDescent="0.3">
      <c r="A223">
        <v>222</v>
      </c>
      <c r="B223" t="s">
        <v>195</v>
      </c>
      <c r="C223" t="s">
        <v>377</v>
      </c>
      <c r="D223" t="str">
        <f>_xlfn.CONCAT(EmpTable[[#This Row],[First Name]],EmpTable[[#This Row],[Last Name]])</f>
        <v>TariqDw</v>
      </c>
      <c r="E223" t="s">
        <v>32</v>
      </c>
      <c r="F223" s="1">
        <v>43945</v>
      </c>
      <c r="G223" s="2">
        <f ca="1">DATEDIF(EmpTable[[#This Row],[Start Date]],TODAY(),"Y")</f>
        <v>5</v>
      </c>
      <c r="H223" s="2" t="str" cm="1">
        <f t="array" aca="1" ref="H223" ca="1">_xlfn.IFS(G223&lt;=1,"Fresh",G223&lt;=3,"Junior",G223&lt;=7,"Teamlead",G223&gt;=7,"manger")</f>
        <v>Teamlead</v>
      </c>
      <c r="I223" t="s">
        <v>77</v>
      </c>
      <c r="J223" t="s">
        <v>29</v>
      </c>
      <c r="K223" t="s">
        <v>36</v>
      </c>
      <c r="L223">
        <v>1677</v>
      </c>
      <c r="M223">
        <v>20124</v>
      </c>
      <c r="N223">
        <v>1</v>
      </c>
      <c r="O223" t="str" cm="1">
        <f t="array" ref="O223">_xlfn.IFS(EmpTable[[#This Row],[Job Rate]] &lt;=1,"LOW",N223&lt;=2,"LOW",N223&lt;=3,"MEDIUM",N223&gt;4,"HIGH")</f>
        <v>LOW</v>
      </c>
      <c r="P223">
        <v>0</v>
      </c>
      <c r="Q223">
        <v>0</v>
      </c>
      <c r="R223">
        <v>12</v>
      </c>
    </row>
    <row r="224" spans="1:18" x14ac:dyDescent="0.3">
      <c r="A224">
        <v>223</v>
      </c>
      <c r="B224" t="s">
        <v>378</v>
      </c>
      <c r="C224" t="s">
        <v>379</v>
      </c>
      <c r="D224" t="str">
        <f>_xlfn.CONCAT(EmpTable[[#This Row],[First Name]],EmpTable[[#This Row],[Last Name]])</f>
        <v>JawaherShaykhus</v>
      </c>
      <c r="E224" t="s">
        <v>307</v>
      </c>
      <c r="F224" s="1">
        <v>43215</v>
      </c>
      <c r="G224" s="2">
        <f ca="1">DATEDIF(EmpTable[[#This Row],[Start Date]],TODAY(),"Y")</f>
        <v>7</v>
      </c>
      <c r="H224" s="2" t="str" cm="1">
        <f t="array" aca="1" ref="H224" ca="1">_xlfn.IFS(G224&lt;=1,"Fresh",G224&lt;=3,"Junior",G224&lt;=7,"Teamlead",G224&gt;=7,"manger")</f>
        <v>Teamlead</v>
      </c>
      <c r="I224" t="s">
        <v>77</v>
      </c>
      <c r="J224" t="s">
        <v>18</v>
      </c>
      <c r="K224" t="s">
        <v>19</v>
      </c>
      <c r="L224">
        <v>3414</v>
      </c>
      <c r="M224">
        <v>40968</v>
      </c>
      <c r="N224">
        <v>5</v>
      </c>
      <c r="O224" t="str" cm="1">
        <f t="array" ref="O224">_xlfn.IFS(EmpTable[[#This Row],[Job Rate]] &lt;=1,"LOW",N224&lt;=2,"LOW",N224&lt;=3,"MEDIUM",N224&gt;4,"HIGH")</f>
        <v>HIGH</v>
      </c>
      <c r="P224">
        <v>0</v>
      </c>
      <c r="Q224">
        <v>0</v>
      </c>
      <c r="R224">
        <v>2</v>
      </c>
    </row>
    <row r="225" spans="1:18" x14ac:dyDescent="0.3">
      <c r="A225">
        <v>224</v>
      </c>
      <c r="B225" t="s">
        <v>380</v>
      </c>
      <c r="C225" t="s">
        <v>381</v>
      </c>
      <c r="D225" t="str">
        <f>_xlfn.CONCAT(EmpTable[[#This Row],[First Name]],EmpTable[[#This Row],[Last Name]])</f>
        <v>EmamMansur</v>
      </c>
      <c r="E225" t="s">
        <v>32</v>
      </c>
      <c r="F225" s="1">
        <v>43553</v>
      </c>
      <c r="G225" s="2">
        <f ca="1">DATEDIF(EmpTable[[#This Row],[Start Date]],TODAY(),"Y")</f>
        <v>7</v>
      </c>
      <c r="H225" s="2" t="str" cm="1">
        <f t="array" aca="1" ref="H225" ca="1">_xlfn.IFS(G225&lt;=1,"Fresh",G225&lt;=3,"Junior",G225&lt;=7,"Teamlead",G225&gt;=7,"manger")</f>
        <v>Teamlead</v>
      </c>
      <c r="I225" t="s">
        <v>77</v>
      </c>
      <c r="J225" t="s">
        <v>294</v>
      </c>
      <c r="K225" t="s">
        <v>42</v>
      </c>
      <c r="L225">
        <v>1358</v>
      </c>
      <c r="M225">
        <v>16296</v>
      </c>
      <c r="N225">
        <v>5</v>
      </c>
      <c r="O225" t="str" cm="1">
        <f t="array" ref="O225">_xlfn.IFS(EmpTable[[#This Row],[Job Rate]] &lt;=1,"LOW",N225&lt;=2,"LOW",N225&lt;=3,"MEDIUM",N225&gt;4,"HIGH")</f>
        <v>HIGH</v>
      </c>
      <c r="P225">
        <v>0</v>
      </c>
      <c r="Q225">
        <v>0</v>
      </c>
      <c r="R225">
        <v>10</v>
      </c>
    </row>
    <row r="226" spans="1:18" x14ac:dyDescent="0.3">
      <c r="A226">
        <v>225</v>
      </c>
      <c r="B226" t="s">
        <v>33</v>
      </c>
      <c r="C226" t="s">
        <v>382</v>
      </c>
      <c r="D226" t="str">
        <f>_xlfn.CONCAT(EmpTable[[#This Row],[First Name]],EmpTable[[#This Row],[Last Name]])</f>
        <v>MuhamadBulta</v>
      </c>
      <c r="E226" t="s">
        <v>32</v>
      </c>
      <c r="F226" s="1">
        <v>43694</v>
      </c>
      <c r="G226" s="2">
        <f ca="1">DATEDIF(EmpTable[[#This Row],[Start Date]],TODAY(),"Y")</f>
        <v>6</v>
      </c>
      <c r="H226" s="2" t="str" cm="1">
        <f t="array" aca="1" ref="H226" ca="1">_xlfn.IFS(G226&lt;=1,"Fresh",G226&lt;=3,"Junior",G226&lt;=7,"Teamlead",G226&gt;=7,"manger")</f>
        <v>Teamlead</v>
      </c>
      <c r="I226" t="s">
        <v>41</v>
      </c>
      <c r="J226" t="s">
        <v>18</v>
      </c>
      <c r="K226" t="s">
        <v>60</v>
      </c>
      <c r="L226">
        <v>703</v>
      </c>
      <c r="M226">
        <v>8436</v>
      </c>
      <c r="N226">
        <v>4.5</v>
      </c>
      <c r="O226" t="str" cm="1">
        <f t="array" ref="O226">_xlfn.IFS(EmpTable[[#This Row],[Job Rate]] &lt;=1,"LOW",N226&lt;=2,"LOW",N226&lt;=3,"MEDIUM",N226&gt;4,"HIGH")</f>
        <v>HIGH</v>
      </c>
      <c r="P226">
        <v>0</v>
      </c>
      <c r="Q226">
        <v>0</v>
      </c>
      <c r="R226">
        <v>64</v>
      </c>
    </row>
    <row r="227" spans="1:18" x14ac:dyDescent="0.3">
      <c r="A227">
        <v>226</v>
      </c>
      <c r="B227" t="s">
        <v>383</v>
      </c>
      <c r="C227" t="s">
        <v>384</v>
      </c>
      <c r="D227" t="str">
        <f>_xlfn.CONCAT(EmpTable[[#This Row],[First Name]],EmpTable[[#This Row],[Last Name]])</f>
        <v>FatinHamshu</v>
      </c>
      <c r="E227" t="s">
        <v>307</v>
      </c>
      <c r="F227" s="1">
        <v>43443</v>
      </c>
      <c r="G227" s="2">
        <f ca="1">DATEDIF(EmpTable[[#This Row],[Start Date]],TODAY(),"Y")</f>
        <v>7</v>
      </c>
      <c r="H227" s="2" t="str" cm="1">
        <f t="array" aca="1" ref="H227" ca="1">_xlfn.IFS(G227&lt;=1,"Fresh",G227&lt;=3,"Junior",G227&lt;=7,"Teamlead",G227&gt;=7,"manger")</f>
        <v>Teamlead</v>
      </c>
      <c r="I227" t="s">
        <v>35</v>
      </c>
      <c r="J227" t="s">
        <v>18</v>
      </c>
      <c r="K227" t="s">
        <v>42</v>
      </c>
      <c r="L227">
        <v>2017</v>
      </c>
      <c r="M227">
        <v>24204</v>
      </c>
      <c r="N227">
        <v>2</v>
      </c>
      <c r="O227" t="str" cm="1">
        <f t="array" ref="O227">_xlfn.IFS(EmpTable[[#This Row],[Job Rate]] &lt;=1,"LOW",N227&lt;=2,"LOW",N227&lt;=3,"MEDIUM",N227&gt;4,"HIGH")</f>
        <v>LOW</v>
      </c>
      <c r="P227">
        <v>0</v>
      </c>
      <c r="Q227">
        <v>1</v>
      </c>
      <c r="R227">
        <v>8</v>
      </c>
    </row>
    <row r="228" spans="1:18" x14ac:dyDescent="0.3">
      <c r="A228">
        <v>227</v>
      </c>
      <c r="B228" t="s">
        <v>263</v>
      </c>
      <c r="C228" t="s">
        <v>385</v>
      </c>
      <c r="D228" t="str">
        <f>_xlfn.CONCAT(EmpTable[[#This Row],[First Name]],EmpTable[[#This Row],[Last Name]])</f>
        <v>Abd AlruhminAlnasar</v>
      </c>
      <c r="E228" t="s">
        <v>32</v>
      </c>
      <c r="F228" s="1">
        <v>43687</v>
      </c>
      <c r="G228" s="2">
        <f ca="1">DATEDIF(EmpTable[[#This Row],[Start Date]],TODAY(),"Y")</f>
        <v>6</v>
      </c>
      <c r="H228" s="2" t="str" cm="1">
        <f t="array" aca="1" ref="H228" ca="1">_xlfn.IFS(G228&lt;=1,"Fresh",G228&lt;=3,"Junior",G228&lt;=7,"Teamlead",G228&gt;=7,"manger")</f>
        <v>Teamlead</v>
      </c>
      <c r="I228" t="s">
        <v>35</v>
      </c>
      <c r="J228" t="s">
        <v>18</v>
      </c>
      <c r="K228" t="s">
        <v>42</v>
      </c>
      <c r="L228">
        <v>1806</v>
      </c>
      <c r="M228">
        <v>21672</v>
      </c>
      <c r="N228">
        <v>5</v>
      </c>
      <c r="O228" t="str" cm="1">
        <f t="array" ref="O228">_xlfn.IFS(EmpTable[[#This Row],[Job Rate]] &lt;=1,"LOW",N228&lt;=2,"LOW",N228&lt;=3,"MEDIUM",N228&gt;4,"HIGH")</f>
        <v>HIGH</v>
      </c>
      <c r="P228">
        <v>0</v>
      </c>
      <c r="Q228">
        <v>0</v>
      </c>
      <c r="R228">
        <v>7</v>
      </c>
    </row>
    <row r="229" spans="1:18" x14ac:dyDescent="0.3">
      <c r="A229">
        <v>228</v>
      </c>
      <c r="B229" t="s">
        <v>383</v>
      </c>
      <c r="C229" t="s">
        <v>386</v>
      </c>
      <c r="D229" t="str">
        <f>_xlfn.CONCAT(EmpTable[[#This Row],[First Name]],EmpTable[[#This Row],[Last Name]])</f>
        <v>FatinRed</v>
      </c>
      <c r="E229" t="s">
        <v>307</v>
      </c>
      <c r="F229" s="1">
        <v>43663</v>
      </c>
      <c r="G229" s="2">
        <f ca="1">DATEDIF(EmpTable[[#This Row],[Start Date]],TODAY(),"Y")</f>
        <v>6</v>
      </c>
      <c r="H229" s="2" t="str" cm="1">
        <f t="array" aca="1" ref="H229" ca="1">_xlfn.IFS(G229&lt;=1,"Fresh",G229&lt;=3,"Junior",G229&lt;=7,"Teamlead",G229&gt;=7,"manger")</f>
        <v>Teamlead</v>
      </c>
      <c r="I229" t="s">
        <v>118</v>
      </c>
      <c r="J229" t="s">
        <v>18</v>
      </c>
      <c r="K229" t="s">
        <v>36</v>
      </c>
      <c r="L229">
        <v>2421</v>
      </c>
      <c r="M229">
        <v>29052</v>
      </c>
      <c r="N229">
        <v>3</v>
      </c>
      <c r="O229" t="str" cm="1">
        <f t="array" ref="O229">_xlfn.IFS(EmpTable[[#This Row],[Job Rate]] &lt;=1,"LOW",N229&lt;=2,"LOW",N229&lt;=3,"MEDIUM",N229&gt;4,"HIGH")</f>
        <v>MEDIUM</v>
      </c>
      <c r="P229">
        <v>6</v>
      </c>
      <c r="Q229">
        <v>0</v>
      </c>
      <c r="R229">
        <v>16</v>
      </c>
    </row>
    <row r="230" spans="1:18" x14ac:dyDescent="0.3">
      <c r="A230">
        <v>229</v>
      </c>
      <c r="B230" t="s">
        <v>186</v>
      </c>
      <c r="C230" t="s">
        <v>33</v>
      </c>
      <c r="D230" t="str">
        <f>_xlfn.CONCAT(EmpTable[[#This Row],[First Name]],EmpTable[[#This Row],[Last Name]])</f>
        <v>AliMuhamad</v>
      </c>
      <c r="E230" t="s">
        <v>32</v>
      </c>
      <c r="F230" s="1">
        <v>43256</v>
      </c>
      <c r="G230" s="2">
        <f ca="1">DATEDIF(EmpTable[[#This Row],[Start Date]],TODAY(),"Y")</f>
        <v>7</v>
      </c>
      <c r="H230" s="2" t="str" cm="1">
        <f t="array" aca="1" ref="H230" ca="1">_xlfn.IFS(G230&lt;=1,"Fresh",G230&lt;=3,"Junior",G230&lt;=7,"Teamlead",G230&gt;=7,"manger")</f>
        <v>Teamlead</v>
      </c>
      <c r="I230" t="s">
        <v>58</v>
      </c>
      <c r="J230" t="s">
        <v>29</v>
      </c>
      <c r="K230" t="s">
        <v>36</v>
      </c>
      <c r="L230">
        <v>1461</v>
      </c>
      <c r="M230">
        <v>17532</v>
      </c>
      <c r="N230">
        <v>5</v>
      </c>
      <c r="O230" t="str" cm="1">
        <f t="array" ref="O230">_xlfn.IFS(EmpTable[[#This Row],[Job Rate]] &lt;=1,"LOW",N230&lt;=2,"LOW",N230&lt;=3,"MEDIUM",N230&gt;4,"HIGH")</f>
        <v>HIGH</v>
      </c>
      <c r="P230">
        <v>1</v>
      </c>
      <c r="Q230">
        <v>0</v>
      </c>
      <c r="R230">
        <v>7</v>
      </c>
    </row>
    <row r="231" spans="1:18" x14ac:dyDescent="0.3">
      <c r="A231">
        <v>230</v>
      </c>
      <c r="B231" t="s">
        <v>99</v>
      </c>
      <c r="C231" t="s">
        <v>387</v>
      </c>
      <c r="D231" t="str">
        <f>_xlfn.CONCAT(EmpTable[[#This Row],[First Name]],EmpTable[[#This Row],[Last Name]])</f>
        <v>RimaDwalyby</v>
      </c>
      <c r="E231" t="s">
        <v>307</v>
      </c>
      <c r="F231" s="1">
        <v>44106</v>
      </c>
      <c r="G231" s="2">
        <f ca="1">DATEDIF(EmpTable[[#This Row],[Start Date]],TODAY(),"Y")</f>
        <v>5</v>
      </c>
      <c r="H231" s="2" t="str" cm="1">
        <f t="array" aca="1" ref="H231" ca="1">_xlfn.IFS(G231&lt;=1,"Fresh",G231&lt;=3,"Junior",G231&lt;=7,"Teamlead",G231&gt;=7,"manger")</f>
        <v>Teamlead</v>
      </c>
      <c r="I231" t="s">
        <v>28</v>
      </c>
      <c r="J231" t="s">
        <v>18</v>
      </c>
      <c r="K231" t="s">
        <v>60</v>
      </c>
      <c r="L231">
        <v>1287</v>
      </c>
      <c r="M231">
        <v>15444</v>
      </c>
      <c r="N231">
        <v>1</v>
      </c>
      <c r="O231" t="str" cm="1">
        <f t="array" ref="O231">_xlfn.IFS(EmpTable[[#This Row],[Job Rate]] &lt;=1,"LOW",N231&lt;=2,"LOW",N231&lt;=3,"MEDIUM",N231&gt;4,"HIGH")</f>
        <v>LOW</v>
      </c>
      <c r="P231">
        <v>0</v>
      </c>
      <c r="Q231">
        <v>0</v>
      </c>
      <c r="R231">
        <v>7</v>
      </c>
    </row>
    <row r="232" spans="1:18" x14ac:dyDescent="0.3">
      <c r="A232">
        <v>231</v>
      </c>
      <c r="B232" t="s">
        <v>388</v>
      </c>
      <c r="C232" t="s">
        <v>389</v>
      </c>
      <c r="D232" t="str">
        <f>_xlfn.CONCAT(EmpTable[[#This Row],[First Name]],EmpTable[[#This Row],[Last Name]])</f>
        <v>BasilMusaa</v>
      </c>
      <c r="E232" t="s">
        <v>32</v>
      </c>
      <c r="F232" s="1">
        <v>43244</v>
      </c>
      <c r="G232" s="2">
        <f ca="1">DATEDIF(EmpTable[[#This Row],[Start Date]],TODAY(),"Y")</f>
        <v>7</v>
      </c>
      <c r="H232" s="2" t="str" cm="1">
        <f t="array" aca="1" ref="H232" ca="1">_xlfn.IFS(G232&lt;=1,"Fresh",G232&lt;=3,"Junior",G232&lt;=7,"Teamlead",G232&gt;=7,"manger")</f>
        <v>Teamlead</v>
      </c>
      <c r="I232" t="s">
        <v>28</v>
      </c>
      <c r="J232" t="s">
        <v>18</v>
      </c>
      <c r="K232" t="s">
        <v>42</v>
      </c>
      <c r="L232">
        <v>2756</v>
      </c>
      <c r="M232">
        <v>33072</v>
      </c>
      <c r="N232">
        <v>3</v>
      </c>
      <c r="O232" t="str" cm="1">
        <f t="array" ref="O232">_xlfn.IFS(EmpTable[[#This Row],[Job Rate]] &lt;=1,"LOW",N232&lt;=2,"LOW",N232&lt;=3,"MEDIUM",N232&gt;4,"HIGH")</f>
        <v>MEDIUM</v>
      </c>
      <c r="P232">
        <v>2</v>
      </c>
      <c r="Q232">
        <v>0</v>
      </c>
      <c r="R232">
        <v>4</v>
      </c>
    </row>
    <row r="233" spans="1:18" x14ac:dyDescent="0.3">
      <c r="A233">
        <v>232</v>
      </c>
      <c r="B233" t="s">
        <v>390</v>
      </c>
      <c r="C233" t="s">
        <v>391</v>
      </c>
      <c r="D233" t="str">
        <f>_xlfn.CONCAT(EmpTable[[#This Row],[First Name]],EmpTable[[#This Row],[Last Name]])</f>
        <v>AntuanLitansdurfr</v>
      </c>
      <c r="E233" t="s">
        <v>32</v>
      </c>
      <c r="F233" s="1">
        <v>43474</v>
      </c>
      <c r="G233" s="2">
        <f ca="1">DATEDIF(EmpTable[[#This Row],[Start Date]],TODAY(),"Y")</f>
        <v>7</v>
      </c>
      <c r="H233" s="2" t="str" cm="1">
        <f t="array" aca="1" ref="H233" ca="1">_xlfn.IFS(G233&lt;=1,"Fresh",G233&lt;=3,"Junior",G233&lt;=7,"Teamlead",G233&gt;=7,"manger")</f>
        <v>Teamlead</v>
      </c>
      <c r="I233" t="s">
        <v>17</v>
      </c>
      <c r="J233" t="s">
        <v>18</v>
      </c>
      <c r="K233" t="s">
        <v>42</v>
      </c>
      <c r="L233">
        <v>2332</v>
      </c>
      <c r="M233">
        <v>27984</v>
      </c>
      <c r="N233">
        <v>5</v>
      </c>
      <c r="O233" t="str" cm="1">
        <f t="array" ref="O233">_xlfn.IFS(EmpTable[[#This Row],[Job Rate]] &lt;=1,"LOW",N233&lt;=2,"LOW",N233&lt;=3,"MEDIUM",N233&gt;4,"HIGH")</f>
        <v>HIGH</v>
      </c>
      <c r="P233">
        <v>0</v>
      </c>
      <c r="Q233">
        <v>0</v>
      </c>
      <c r="R233">
        <v>2</v>
      </c>
    </row>
    <row r="234" spans="1:18" x14ac:dyDescent="0.3">
      <c r="A234">
        <v>233</v>
      </c>
      <c r="B234" t="s">
        <v>392</v>
      </c>
      <c r="C234" t="s">
        <v>393</v>
      </c>
      <c r="D234" t="str">
        <f>_xlfn.CONCAT(EmpTable[[#This Row],[First Name]],EmpTable[[#This Row],[Last Name]])</f>
        <v>RashadIidris</v>
      </c>
      <c r="E234" t="s">
        <v>32</v>
      </c>
      <c r="F234" s="1">
        <v>43795</v>
      </c>
      <c r="G234" s="2">
        <f ca="1">DATEDIF(EmpTable[[#This Row],[Start Date]],TODAY(),"Y")</f>
        <v>6</v>
      </c>
      <c r="H234" s="2" t="str" cm="1">
        <f t="array" aca="1" ref="H234" ca="1">_xlfn.IFS(G234&lt;=1,"Fresh",G234&lt;=3,"Junior",G234&lt;=7,"Teamlead",G234&gt;=7,"manger")</f>
        <v>Teamlead</v>
      </c>
      <c r="I234" t="s">
        <v>76</v>
      </c>
      <c r="J234" t="s">
        <v>18</v>
      </c>
      <c r="K234" t="s">
        <v>42</v>
      </c>
      <c r="L234">
        <v>812</v>
      </c>
      <c r="M234">
        <v>9744</v>
      </c>
      <c r="N234">
        <v>3</v>
      </c>
      <c r="O234" t="str" cm="1">
        <f t="array" ref="O234">_xlfn.IFS(EmpTable[[#This Row],[Job Rate]] &lt;=1,"LOW",N234&lt;=2,"LOW",N234&lt;=3,"MEDIUM",N234&gt;4,"HIGH")</f>
        <v>MEDIUM</v>
      </c>
      <c r="P234">
        <v>0</v>
      </c>
      <c r="Q234">
        <v>0</v>
      </c>
      <c r="R234">
        <v>10</v>
      </c>
    </row>
    <row r="235" spans="1:18" x14ac:dyDescent="0.3">
      <c r="A235">
        <v>234</v>
      </c>
      <c r="B235" t="s">
        <v>394</v>
      </c>
      <c r="C235" t="s">
        <v>395</v>
      </c>
      <c r="D235" t="str">
        <f>_xlfn.CONCAT(EmpTable[[#This Row],[First Name]],EmpTable[[#This Row],[Last Name]])</f>
        <v>BidralidinAhmdghrybw</v>
      </c>
      <c r="E235" t="s">
        <v>32</v>
      </c>
      <c r="F235" s="1">
        <v>44103</v>
      </c>
      <c r="G235" s="2">
        <f ca="1">DATEDIF(EmpTable[[#This Row],[Start Date]],TODAY(),"Y")</f>
        <v>5</v>
      </c>
      <c r="H235" s="2" t="str" cm="1">
        <f t="array" aca="1" ref="H235" ca="1">_xlfn.IFS(G235&lt;=1,"Fresh",G235&lt;=3,"Junior",G235&lt;=7,"Teamlead",G235&gt;=7,"manger")</f>
        <v>Teamlead</v>
      </c>
      <c r="I235" t="s">
        <v>28</v>
      </c>
      <c r="J235" t="s">
        <v>18</v>
      </c>
      <c r="K235" t="s">
        <v>36</v>
      </c>
      <c r="L235">
        <v>2651</v>
      </c>
      <c r="M235">
        <v>31812</v>
      </c>
      <c r="N235">
        <v>1</v>
      </c>
      <c r="O235" t="str" cm="1">
        <f t="array" ref="O235">_xlfn.IFS(EmpTable[[#This Row],[Job Rate]] &lt;=1,"LOW",N235&lt;=2,"LOW",N235&lt;=3,"MEDIUM",N235&gt;4,"HIGH")</f>
        <v>LOW</v>
      </c>
      <c r="P235">
        <v>0</v>
      </c>
      <c r="Q235">
        <v>0</v>
      </c>
      <c r="R235">
        <v>12</v>
      </c>
    </row>
    <row r="236" spans="1:18" x14ac:dyDescent="0.3">
      <c r="A236">
        <v>235</v>
      </c>
      <c r="B236" t="s">
        <v>127</v>
      </c>
      <c r="C236" t="s">
        <v>396</v>
      </c>
      <c r="D236" t="str">
        <f>_xlfn.CONCAT(EmpTable[[#This Row],[First Name]],EmpTable[[#This Row],[Last Name]])</f>
        <v>FarasShaykh</v>
      </c>
      <c r="E236" t="s">
        <v>32</v>
      </c>
      <c r="F236" s="1">
        <v>43547</v>
      </c>
      <c r="G236" s="2">
        <f ca="1">DATEDIF(EmpTable[[#This Row],[Start Date]],TODAY(),"Y")</f>
        <v>7</v>
      </c>
      <c r="H236" s="2" t="str" cm="1">
        <f t="array" aca="1" ref="H236" ca="1">_xlfn.IFS(G236&lt;=1,"Fresh",G236&lt;=3,"Junior",G236&lt;=7,"Teamlead",G236&gt;=7,"manger")</f>
        <v>Teamlead</v>
      </c>
      <c r="I236" t="s">
        <v>39</v>
      </c>
      <c r="J236" t="s">
        <v>29</v>
      </c>
      <c r="K236" t="s">
        <v>19</v>
      </c>
      <c r="L236">
        <v>2331</v>
      </c>
      <c r="M236">
        <v>27972</v>
      </c>
      <c r="N236">
        <v>4.5</v>
      </c>
      <c r="O236" t="str" cm="1">
        <f t="array" ref="O236">_xlfn.IFS(EmpTable[[#This Row],[Job Rate]] &lt;=1,"LOW",N236&lt;=2,"LOW",N236&lt;=3,"MEDIUM",N236&gt;4,"HIGH")</f>
        <v>HIGH</v>
      </c>
      <c r="P236">
        <v>0</v>
      </c>
      <c r="Q236">
        <v>0</v>
      </c>
      <c r="R236">
        <v>9</v>
      </c>
    </row>
    <row r="237" spans="1:18" x14ac:dyDescent="0.3">
      <c r="A237">
        <v>236</v>
      </c>
      <c r="B237" t="s">
        <v>33</v>
      </c>
      <c r="C237" t="s">
        <v>397</v>
      </c>
      <c r="D237" t="str">
        <f>_xlfn.CONCAT(EmpTable[[#This Row],[First Name]],EmpTable[[#This Row],[Last Name]])</f>
        <v>MuhamadEala Aldiyn</v>
      </c>
      <c r="E237" t="s">
        <v>32</v>
      </c>
      <c r="F237" s="1">
        <v>43826</v>
      </c>
      <c r="G237" s="2">
        <f ca="1">DATEDIF(EmpTable[[#This Row],[Start Date]],TODAY(),"Y")</f>
        <v>6</v>
      </c>
      <c r="H237" s="2" t="str" cm="1">
        <f t="array" aca="1" ref="H237" ca="1">_xlfn.IFS(G237&lt;=1,"Fresh",G237&lt;=3,"Junior",G237&lt;=7,"Teamlead",G237&gt;=7,"manger")</f>
        <v>Teamlead</v>
      </c>
      <c r="I237" t="s">
        <v>39</v>
      </c>
      <c r="J237" t="s">
        <v>22</v>
      </c>
      <c r="K237" t="s">
        <v>36</v>
      </c>
      <c r="L237">
        <v>2162</v>
      </c>
      <c r="M237">
        <v>25944</v>
      </c>
      <c r="N237">
        <v>5</v>
      </c>
      <c r="O237" t="str" cm="1">
        <f t="array" ref="O237">_xlfn.IFS(EmpTable[[#This Row],[Job Rate]] &lt;=1,"LOW",N237&lt;=2,"LOW",N237&lt;=3,"MEDIUM",N237&gt;4,"HIGH")</f>
        <v>HIGH</v>
      </c>
      <c r="P237">
        <v>0</v>
      </c>
      <c r="Q237">
        <v>0</v>
      </c>
      <c r="R237">
        <v>13</v>
      </c>
    </row>
    <row r="238" spans="1:18" x14ac:dyDescent="0.3">
      <c r="A238">
        <v>237</v>
      </c>
      <c r="B238" t="s">
        <v>398</v>
      </c>
      <c r="C238" t="s">
        <v>399</v>
      </c>
      <c r="D238" t="str">
        <f>_xlfn.CONCAT(EmpTable[[#This Row],[First Name]],EmpTable[[#This Row],[Last Name]])</f>
        <v>KhaldunSuqbani</v>
      </c>
      <c r="E238" t="s">
        <v>32</v>
      </c>
      <c r="F238" s="1">
        <v>43991</v>
      </c>
      <c r="G238" s="2">
        <f ca="1">DATEDIF(EmpTable[[#This Row],[Start Date]],TODAY(),"Y")</f>
        <v>5</v>
      </c>
      <c r="H238" s="2" t="str" cm="1">
        <f t="array" aca="1" ref="H238" ca="1">_xlfn.IFS(G238&lt;=1,"Fresh",G238&lt;=3,"Junior",G238&lt;=7,"Teamlead",G238&gt;=7,"manger")</f>
        <v>Teamlead</v>
      </c>
      <c r="I238" t="s">
        <v>28</v>
      </c>
      <c r="J238" t="s">
        <v>18</v>
      </c>
      <c r="K238" t="s">
        <v>36</v>
      </c>
      <c r="L238">
        <v>1952</v>
      </c>
      <c r="M238">
        <v>23424</v>
      </c>
      <c r="N238">
        <v>3</v>
      </c>
      <c r="O238" t="str" cm="1">
        <f t="array" ref="O238">_xlfn.IFS(EmpTable[[#This Row],[Job Rate]] &lt;=1,"LOW",N238&lt;=2,"LOW",N238&lt;=3,"MEDIUM",N238&gt;4,"HIGH")</f>
        <v>MEDIUM</v>
      </c>
      <c r="P238">
        <v>1</v>
      </c>
      <c r="Q238">
        <v>1</v>
      </c>
      <c r="R238">
        <v>34</v>
      </c>
    </row>
    <row r="239" spans="1:18" x14ac:dyDescent="0.3">
      <c r="A239">
        <v>238</v>
      </c>
      <c r="B239" t="s">
        <v>79</v>
      </c>
      <c r="C239" t="s">
        <v>400</v>
      </c>
      <c r="D239" t="str">
        <f>_xlfn.CONCAT(EmpTable[[#This Row],[First Name]],EmpTable[[#This Row],[Last Name]])</f>
        <v>LwnaAlbahra</v>
      </c>
      <c r="E239" t="s">
        <v>307</v>
      </c>
      <c r="F239" s="1">
        <v>43931</v>
      </c>
      <c r="G239" s="2">
        <f ca="1">DATEDIF(EmpTable[[#This Row],[Start Date]],TODAY(),"Y")</f>
        <v>5</v>
      </c>
      <c r="H239" s="2" t="str" cm="1">
        <f t="array" aca="1" ref="H239" ca="1">_xlfn.IFS(G239&lt;=1,"Fresh",G239&lt;=3,"Junior",G239&lt;=7,"Teamlead",G239&gt;=7,"manger")</f>
        <v>Teamlead</v>
      </c>
      <c r="I239" t="s">
        <v>35</v>
      </c>
      <c r="J239" t="s">
        <v>18</v>
      </c>
      <c r="K239" t="s">
        <v>36</v>
      </c>
      <c r="L239">
        <v>2976</v>
      </c>
      <c r="M239">
        <v>35712</v>
      </c>
      <c r="N239">
        <v>4.5</v>
      </c>
      <c r="O239" t="str" cm="1">
        <f t="array" ref="O239">_xlfn.IFS(EmpTable[[#This Row],[Job Rate]] &lt;=1,"LOW",N239&lt;=2,"LOW",N239&lt;=3,"MEDIUM",N239&gt;4,"HIGH")</f>
        <v>HIGH</v>
      </c>
      <c r="P239">
        <v>0</v>
      </c>
      <c r="Q239">
        <v>2</v>
      </c>
      <c r="R239">
        <v>6</v>
      </c>
    </row>
    <row r="240" spans="1:18" x14ac:dyDescent="0.3">
      <c r="A240">
        <v>239</v>
      </c>
      <c r="B240" t="s">
        <v>30</v>
      </c>
      <c r="C240" t="s">
        <v>401</v>
      </c>
      <c r="D240" t="str">
        <f>_xlfn.CONCAT(EmpTable[[#This Row],[First Name]],EmpTable[[#This Row],[Last Name]])</f>
        <v>AhmadEzqul</v>
      </c>
      <c r="E240" t="s">
        <v>32</v>
      </c>
      <c r="F240" s="1">
        <v>43272</v>
      </c>
      <c r="G240" s="2">
        <f ca="1">DATEDIF(EmpTable[[#This Row],[Start Date]],TODAY(),"Y")</f>
        <v>7</v>
      </c>
      <c r="H240" s="2" t="str" cm="1">
        <f t="array" aca="1" ref="H240" ca="1">_xlfn.IFS(G240&lt;=1,"Fresh",G240&lt;=3,"Junior",G240&lt;=7,"Teamlead",G240&gt;=7,"manger")</f>
        <v>Teamlead</v>
      </c>
      <c r="I240" t="s">
        <v>28</v>
      </c>
      <c r="J240" t="s">
        <v>22</v>
      </c>
      <c r="K240" t="s">
        <v>42</v>
      </c>
      <c r="L240">
        <v>2080</v>
      </c>
      <c r="M240">
        <v>24960</v>
      </c>
      <c r="N240">
        <v>5</v>
      </c>
      <c r="O240" t="str" cm="1">
        <f t="array" ref="O240">_xlfn.IFS(EmpTable[[#This Row],[Job Rate]] &lt;=1,"LOW",N240&lt;=2,"LOW",N240&lt;=3,"MEDIUM",N240&gt;4,"HIGH")</f>
        <v>HIGH</v>
      </c>
      <c r="P240">
        <v>0</v>
      </c>
      <c r="Q240">
        <v>5</v>
      </c>
      <c r="R240">
        <v>13</v>
      </c>
    </row>
    <row r="241" spans="1:18" x14ac:dyDescent="0.3">
      <c r="A241">
        <v>240</v>
      </c>
      <c r="B241" t="s">
        <v>341</v>
      </c>
      <c r="C241" t="s">
        <v>402</v>
      </c>
      <c r="D241" t="str">
        <f>_xlfn.CONCAT(EmpTable[[#This Row],[First Name]],EmpTable[[#This Row],[Last Name]])</f>
        <v>SalihAlhamuwd</v>
      </c>
      <c r="E241" t="s">
        <v>32</v>
      </c>
      <c r="F241" s="1">
        <v>43431</v>
      </c>
      <c r="G241" s="2">
        <f ca="1">DATEDIF(EmpTable[[#This Row],[Start Date]],TODAY(),"Y")</f>
        <v>7</v>
      </c>
      <c r="H241" s="2" t="str" cm="1">
        <f t="array" aca="1" ref="H241" ca="1">_xlfn.IFS(G241&lt;=1,"Fresh",G241&lt;=3,"Junior",G241&lt;=7,"Teamlead",G241&gt;=7,"manger")</f>
        <v>Teamlead</v>
      </c>
      <c r="I241" t="s">
        <v>58</v>
      </c>
      <c r="J241" t="s">
        <v>18</v>
      </c>
      <c r="K241" t="s">
        <v>42</v>
      </c>
      <c r="L241">
        <v>1668</v>
      </c>
      <c r="M241">
        <v>20016</v>
      </c>
      <c r="N241">
        <v>4.5</v>
      </c>
      <c r="O241" t="str" cm="1">
        <f t="array" ref="O241">_xlfn.IFS(EmpTable[[#This Row],[Job Rate]] &lt;=1,"LOW",N241&lt;=2,"LOW",N241&lt;=3,"MEDIUM",N241&gt;4,"HIGH")</f>
        <v>HIGH</v>
      </c>
      <c r="P241">
        <v>0</v>
      </c>
      <c r="Q241">
        <v>3</v>
      </c>
      <c r="R241">
        <v>3</v>
      </c>
    </row>
    <row r="242" spans="1:18" x14ac:dyDescent="0.3">
      <c r="A242">
        <v>241</v>
      </c>
      <c r="B242" t="s">
        <v>33</v>
      </c>
      <c r="C242" t="s">
        <v>403</v>
      </c>
      <c r="D242" t="str">
        <f>_xlfn.CONCAT(EmpTable[[#This Row],[First Name]],EmpTable[[#This Row],[Last Name]])</f>
        <v>MuhamadAbu Zamil</v>
      </c>
      <c r="E242" t="s">
        <v>32</v>
      </c>
      <c r="F242" s="1">
        <v>42556</v>
      </c>
      <c r="G242" s="2">
        <f ca="1">DATEDIF(EmpTable[[#This Row],[Start Date]],TODAY(),"Y")</f>
        <v>9</v>
      </c>
      <c r="H242" s="2" t="str" cm="1">
        <f t="array" aca="1" ref="H242" ca="1">_xlfn.IFS(G242&lt;=1,"Fresh",G242&lt;=3,"Junior",G242&lt;=7,"Teamlead",G242&gt;=7,"manger")</f>
        <v>manger</v>
      </c>
      <c r="I242" t="s">
        <v>58</v>
      </c>
      <c r="J242" t="s">
        <v>18</v>
      </c>
      <c r="K242" t="s">
        <v>42</v>
      </c>
      <c r="L242">
        <v>2234</v>
      </c>
      <c r="M242">
        <v>26808</v>
      </c>
      <c r="N242">
        <v>5</v>
      </c>
      <c r="O242" t="str" cm="1">
        <f t="array" ref="O242">_xlfn.IFS(EmpTable[[#This Row],[Job Rate]] &lt;=1,"LOW",N242&lt;=2,"LOW",N242&lt;=3,"MEDIUM",N242&gt;4,"HIGH")</f>
        <v>HIGH</v>
      </c>
      <c r="P242">
        <v>3</v>
      </c>
      <c r="Q242">
        <v>0</v>
      </c>
      <c r="R242">
        <v>7</v>
      </c>
    </row>
    <row r="243" spans="1:18" x14ac:dyDescent="0.3">
      <c r="A243">
        <v>242</v>
      </c>
      <c r="B243" t="s">
        <v>404</v>
      </c>
      <c r="C243" t="s">
        <v>405</v>
      </c>
      <c r="D243" t="str">
        <f>_xlfn.CONCAT(EmpTable[[#This Row],[First Name]],EmpTable[[#This Row],[Last Name]])</f>
        <v>FuadAlsyqly</v>
      </c>
      <c r="E243" t="s">
        <v>32</v>
      </c>
      <c r="F243" s="1">
        <v>43765</v>
      </c>
      <c r="G243" s="2">
        <f ca="1">DATEDIF(EmpTable[[#This Row],[Start Date]],TODAY(),"Y")</f>
        <v>6</v>
      </c>
      <c r="H243" s="2" t="str" cm="1">
        <f t="array" aca="1" ref="H243" ca="1">_xlfn.IFS(G243&lt;=1,"Fresh",G243&lt;=3,"Junior",G243&lt;=7,"Teamlead",G243&gt;=7,"manger")</f>
        <v>Teamlead</v>
      </c>
      <c r="I243" t="s">
        <v>41</v>
      </c>
      <c r="J243" t="s">
        <v>48</v>
      </c>
      <c r="K243" t="s">
        <v>60</v>
      </c>
      <c r="L243">
        <v>2096</v>
      </c>
      <c r="M243">
        <v>25152</v>
      </c>
      <c r="N243">
        <v>3</v>
      </c>
      <c r="O243" t="str" cm="1">
        <f t="array" ref="O243">_xlfn.IFS(EmpTable[[#This Row],[Job Rate]] &lt;=1,"LOW",N243&lt;=2,"LOW",N243&lt;=3,"MEDIUM",N243&gt;4,"HIGH")</f>
        <v>MEDIUM</v>
      </c>
      <c r="P243">
        <v>5</v>
      </c>
      <c r="Q243">
        <v>2</v>
      </c>
      <c r="R243">
        <v>0</v>
      </c>
    </row>
    <row r="244" spans="1:18" x14ac:dyDescent="0.3">
      <c r="A244">
        <v>243</v>
      </c>
      <c r="B244" t="s">
        <v>33</v>
      </c>
      <c r="C244" t="s">
        <v>406</v>
      </c>
      <c r="D244" t="str">
        <f>_xlfn.CONCAT(EmpTable[[#This Row],[First Name]],EmpTable[[#This Row],[Last Name]])</f>
        <v>MuhamadAldamshqi</v>
      </c>
      <c r="E244" t="s">
        <v>32</v>
      </c>
      <c r="F244" s="1">
        <v>43612</v>
      </c>
      <c r="G244" s="2">
        <f ca="1">DATEDIF(EmpTable[[#This Row],[Start Date]],TODAY(),"Y")</f>
        <v>6</v>
      </c>
      <c r="H244" s="2" t="str" cm="1">
        <f t="array" aca="1" ref="H244" ca="1">_xlfn.IFS(G244&lt;=1,"Fresh",G244&lt;=3,"Junior",G244&lt;=7,"Teamlead",G244&gt;=7,"manger")</f>
        <v>Teamlead</v>
      </c>
      <c r="I244" t="s">
        <v>28</v>
      </c>
      <c r="J244" t="s">
        <v>22</v>
      </c>
      <c r="K244" t="s">
        <v>42</v>
      </c>
      <c r="L244">
        <v>2129</v>
      </c>
      <c r="M244">
        <v>25548</v>
      </c>
      <c r="N244">
        <v>3</v>
      </c>
      <c r="O244" t="str" cm="1">
        <f t="array" ref="O244">_xlfn.IFS(EmpTable[[#This Row],[Job Rate]] &lt;=1,"LOW",N244&lt;=2,"LOW",N244&lt;=3,"MEDIUM",N244&gt;4,"HIGH")</f>
        <v>MEDIUM</v>
      </c>
      <c r="P244">
        <v>1</v>
      </c>
      <c r="Q244">
        <v>1</v>
      </c>
      <c r="R244">
        <v>3</v>
      </c>
    </row>
    <row r="245" spans="1:18" x14ac:dyDescent="0.3">
      <c r="A245">
        <v>244</v>
      </c>
      <c r="B245" t="s">
        <v>407</v>
      </c>
      <c r="C245" t="s">
        <v>408</v>
      </c>
      <c r="D245" t="str">
        <f>_xlfn.CONCAT(EmpTable[[#This Row],[First Name]],EmpTable[[#This Row],[Last Name]])</f>
        <v>Sayf AldiynAlkmshh</v>
      </c>
      <c r="E245" t="s">
        <v>32</v>
      </c>
      <c r="F245" s="1">
        <v>43508</v>
      </c>
      <c r="G245" s="2">
        <f ca="1">DATEDIF(EmpTable[[#This Row],[Start Date]],TODAY(),"Y")</f>
        <v>7</v>
      </c>
      <c r="H245" s="2" t="str" cm="1">
        <f t="array" aca="1" ref="H245" ca="1">_xlfn.IFS(G245&lt;=1,"Fresh",G245&lt;=3,"Junior",G245&lt;=7,"Teamlead",G245&gt;=7,"manger")</f>
        <v>Teamlead</v>
      </c>
      <c r="I245" t="s">
        <v>28</v>
      </c>
      <c r="J245" t="s">
        <v>22</v>
      </c>
      <c r="K245" t="s">
        <v>42</v>
      </c>
      <c r="L245">
        <v>1429</v>
      </c>
      <c r="M245">
        <v>17148</v>
      </c>
      <c r="N245">
        <v>3</v>
      </c>
      <c r="O245" t="str" cm="1">
        <f t="array" ref="O245">_xlfn.IFS(EmpTable[[#This Row],[Job Rate]] &lt;=1,"LOW",N245&lt;=2,"LOW",N245&lt;=3,"MEDIUM",N245&gt;4,"HIGH")</f>
        <v>MEDIUM</v>
      </c>
      <c r="P245">
        <v>0</v>
      </c>
      <c r="Q245">
        <v>5</v>
      </c>
      <c r="R245">
        <v>8</v>
      </c>
    </row>
    <row r="246" spans="1:18" x14ac:dyDescent="0.3">
      <c r="A246">
        <v>245</v>
      </c>
      <c r="B246" t="s">
        <v>33</v>
      </c>
      <c r="C246" t="s">
        <v>409</v>
      </c>
      <c r="D246" t="str">
        <f>_xlfn.CONCAT(EmpTable[[#This Row],[First Name]],EmpTable[[#This Row],[Last Name]])</f>
        <v>MuhamadAlssati</v>
      </c>
      <c r="E246" t="s">
        <v>32</v>
      </c>
      <c r="F246" s="1">
        <v>44126</v>
      </c>
      <c r="G246" s="2">
        <f ca="1">DATEDIF(EmpTable[[#This Row],[Start Date]],TODAY(),"Y")</f>
        <v>5</v>
      </c>
      <c r="H246" s="2" t="str" cm="1">
        <f t="array" aca="1" ref="H246" ca="1">_xlfn.IFS(G246&lt;=1,"Fresh",G246&lt;=3,"Junior",G246&lt;=7,"Teamlead",G246&gt;=7,"manger")</f>
        <v>Teamlead</v>
      </c>
      <c r="I246" t="s">
        <v>28</v>
      </c>
      <c r="J246" t="s">
        <v>29</v>
      </c>
      <c r="K246" t="s">
        <v>36</v>
      </c>
      <c r="L246">
        <v>1479</v>
      </c>
      <c r="M246">
        <v>17748</v>
      </c>
      <c r="N246">
        <v>3</v>
      </c>
      <c r="O246" t="str" cm="1">
        <f t="array" ref="O246">_xlfn.IFS(EmpTable[[#This Row],[Job Rate]] &lt;=1,"LOW",N246&lt;=2,"LOW",N246&lt;=3,"MEDIUM",N246&gt;4,"HIGH")</f>
        <v>MEDIUM</v>
      </c>
      <c r="P246">
        <v>5</v>
      </c>
      <c r="Q246">
        <v>4</v>
      </c>
      <c r="R246">
        <v>8</v>
      </c>
    </row>
    <row r="247" spans="1:18" x14ac:dyDescent="0.3">
      <c r="A247">
        <v>246</v>
      </c>
      <c r="B247" t="s">
        <v>165</v>
      </c>
      <c r="C247" t="s">
        <v>410</v>
      </c>
      <c r="D247" t="str">
        <f>_xlfn.CONCAT(EmpTable[[#This Row],[First Name]],EmpTable[[#This Row],[Last Name]])</f>
        <v>KhalidAlem</v>
      </c>
      <c r="E247" t="s">
        <v>32</v>
      </c>
      <c r="F247" s="1">
        <v>44181</v>
      </c>
      <c r="G247" s="2">
        <f ca="1">DATEDIF(EmpTable[[#This Row],[Start Date]],TODAY(),"Y")</f>
        <v>5</v>
      </c>
      <c r="H247" s="2" t="str" cm="1">
        <f t="array" aca="1" ref="H247" ca="1">_xlfn.IFS(G247&lt;=1,"Fresh",G247&lt;=3,"Junior",G247&lt;=7,"Teamlead",G247&gt;=7,"manger")</f>
        <v>Teamlead</v>
      </c>
      <c r="I247" t="s">
        <v>17</v>
      </c>
      <c r="J247" t="s">
        <v>29</v>
      </c>
      <c r="K247" t="s">
        <v>36</v>
      </c>
      <c r="L247">
        <v>2884</v>
      </c>
      <c r="M247">
        <v>34608</v>
      </c>
      <c r="N247">
        <v>5</v>
      </c>
      <c r="O247" t="str" cm="1">
        <f t="array" ref="O247">_xlfn.IFS(EmpTable[[#This Row],[Job Rate]] &lt;=1,"LOW",N247&lt;=2,"LOW",N247&lt;=3,"MEDIUM",N247&gt;4,"HIGH")</f>
        <v>HIGH</v>
      </c>
      <c r="P247">
        <v>1</v>
      </c>
      <c r="Q247">
        <v>6</v>
      </c>
      <c r="R247">
        <v>3</v>
      </c>
    </row>
    <row r="248" spans="1:18" x14ac:dyDescent="0.3">
      <c r="A248">
        <v>247</v>
      </c>
      <c r="B248" t="s">
        <v>67</v>
      </c>
      <c r="C248" t="s">
        <v>411</v>
      </c>
      <c r="D248" t="str">
        <f>_xlfn.CONCAT(EmpTable[[#This Row],[First Name]],EmpTable[[#This Row],[Last Name]])</f>
        <v>AyhamAleisaa</v>
      </c>
      <c r="E248" t="s">
        <v>32</v>
      </c>
      <c r="F248" s="1">
        <v>44167</v>
      </c>
      <c r="G248" s="2">
        <f ca="1">DATEDIF(EmpTable[[#This Row],[Start Date]],TODAY(),"Y")</f>
        <v>5</v>
      </c>
      <c r="H248" s="2" t="str" cm="1">
        <f t="array" aca="1" ref="H248" ca="1">_xlfn.IFS(G248&lt;=1,"Fresh",G248&lt;=3,"Junior",G248&lt;=7,"Teamlead",G248&gt;=7,"manger")</f>
        <v>Teamlead</v>
      </c>
      <c r="I248" t="s">
        <v>76</v>
      </c>
      <c r="J248" t="s">
        <v>48</v>
      </c>
      <c r="K248" t="s">
        <v>42</v>
      </c>
      <c r="L248">
        <v>2947</v>
      </c>
      <c r="M248">
        <v>35364</v>
      </c>
      <c r="N248">
        <v>3</v>
      </c>
      <c r="O248" t="str" cm="1">
        <f t="array" ref="O248">_xlfn.IFS(EmpTable[[#This Row],[Job Rate]] &lt;=1,"LOW",N248&lt;=2,"LOW",N248&lt;=3,"MEDIUM",N248&gt;4,"HIGH")</f>
        <v>MEDIUM</v>
      </c>
      <c r="P248">
        <v>5</v>
      </c>
      <c r="Q248">
        <v>0</v>
      </c>
      <c r="R248">
        <v>1</v>
      </c>
    </row>
    <row r="249" spans="1:18" x14ac:dyDescent="0.3">
      <c r="A249">
        <v>248</v>
      </c>
      <c r="B249" t="s">
        <v>263</v>
      </c>
      <c r="C249" t="s">
        <v>412</v>
      </c>
      <c r="D249" t="str">
        <f>_xlfn.CONCAT(EmpTable[[#This Row],[First Name]],EmpTable[[#This Row],[Last Name]])</f>
        <v>Abd AlruhminDulul</v>
      </c>
      <c r="E249" t="s">
        <v>32</v>
      </c>
      <c r="F249" s="1">
        <v>43275</v>
      </c>
      <c r="G249" s="2">
        <f ca="1">DATEDIF(EmpTable[[#This Row],[Start Date]],TODAY(),"Y")</f>
        <v>7</v>
      </c>
      <c r="H249" s="2" t="str" cm="1">
        <f t="array" aca="1" ref="H249" ca="1">_xlfn.IFS(G249&lt;=1,"Fresh",G249&lt;=3,"Junior",G249&lt;=7,"Teamlead",G249&gt;=7,"manger")</f>
        <v>Teamlead</v>
      </c>
      <c r="I249" t="s">
        <v>17</v>
      </c>
      <c r="J249" t="s">
        <v>18</v>
      </c>
      <c r="K249" t="s">
        <v>36</v>
      </c>
      <c r="L249">
        <v>1795</v>
      </c>
      <c r="M249">
        <v>21540</v>
      </c>
      <c r="N249">
        <v>1</v>
      </c>
      <c r="O249" t="str" cm="1">
        <f t="array" ref="O249">_xlfn.IFS(EmpTable[[#This Row],[Job Rate]] &lt;=1,"LOW",N249&lt;=2,"LOW",N249&lt;=3,"MEDIUM",N249&gt;4,"HIGH")</f>
        <v>LOW</v>
      </c>
      <c r="P249">
        <v>0</v>
      </c>
      <c r="Q249">
        <v>0</v>
      </c>
      <c r="R249">
        <v>4</v>
      </c>
    </row>
    <row r="250" spans="1:18" x14ac:dyDescent="0.3">
      <c r="A250">
        <v>249</v>
      </c>
      <c r="B250" t="s">
        <v>413</v>
      </c>
      <c r="C250" t="s">
        <v>198</v>
      </c>
      <c r="D250" t="str">
        <f>_xlfn.CONCAT(EmpTable[[#This Row],[First Name]],EmpTable[[#This Row],[Last Name]])</f>
        <v>RubaAleid</v>
      </c>
      <c r="E250" t="s">
        <v>307</v>
      </c>
      <c r="F250" s="1">
        <v>43137</v>
      </c>
      <c r="G250" s="2">
        <f ca="1">DATEDIF(EmpTable[[#This Row],[Start Date]],TODAY(),"Y")</f>
        <v>8</v>
      </c>
      <c r="H250" s="2" t="str" cm="1">
        <f t="array" aca="1" ref="H250" ca="1">_xlfn.IFS(G250&lt;=1,"Fresh",G250&lt;=3,"Junior",G250&lt;=7,"Teamlead",G250&gt;=7,"manger")</f>
        <v>manger</v>
      </c>
      <c r="I250" t="s">
        <v>41</v>
      </c>
      <c r="J250" t="s">
        <v>18</v>
      </c>
      <c r="K250" t="s">
        <v>19</v>
      </c>
      <c r="L250">
        <v>1982</v>
      </c>
      <c r="M250">
        <v>23784</v>
      </c>
      <c r="N250">
        <v>5</v>
      </c>
      <c r="O250" t="str" cm="1">
        <f t="array" ref="O250">_xlfn.IFS(EmpTable[[#This Row],[Job Rate]] &lt;=1,"LOW",N250&lt;=2,"LOW",N250&lt;=3,"MEDIUM",N250&gt;4,"HIGH")</f>
        <v>HIGH</v>
      </c>
      <c r="P250">
        <v>1</v>
      </c>
      <c r="Q250">
        <v>0</v>
      </c>
      <c r="R250">
        <v>7</v>
      </c>
    </row>
    <row r="251" spans="1:18" x14ac:dyDescent="0.3">
      <c r="A251">
        <v>250</v>
      </c>
      <c r="B251" t="s">
        <v>33</v>
      </c>
      <c r="C251" t="s">
        <v>414</v>
      </c>
      <c r="D251" t="str">
        <f>_xlfn.CONCAT(EmpTable[[#This Row],[First Name]],EmpTable[[#This Row],[Last Name]])</f>
        <v>MuhamadBadawiin</v>
      </c>
      <c r="E251" t="s">
        <v>32</v>
      </c>
      <c r="F251" s="1">
        <v>44162</v>
      </c>
      <c r="G251" s="2">
        <f ca="1">DATEDIF(EmpTable[[#This Row],[Start Date]],TODAY(),"Y")</f>
        <v>5</v>
      </c>
      <c r="H251" s="2" t="str" cm="1">
        <f t="array" aca="1" ref="H251" ca="1">_xlfn.IFS(G251&lt;=1,"Fresh",G251&lt;=3,"Junior",G251&lt;=7,"Teamlead",G251&gt;=7,"manger")</f>
        <v>Teamlead</v>
      </c>
      <c r="I251" t="s">
        <v>41</v>
      </c>
      <c r="J251" t="s">
        <v>18</v>
      </c>
      <c r="K251" t="s">
        <v>60</v>
      </c>
      <c r="L251">
        <v>2543</v>
      </c>
      <c r="M251">
        <v>30516</v>
      </c>
      <c r="N251">
        <v>5</v>
      </c>
      <c r="O251" t="str" cm="1">
        <f t="array" ref="O251">_xlfn.IFS(EmpTable[[#This Row],[Job Rate]] &lt;=1,"LOW",N251&lt;=2,"LOW",N251&lt;=3,"MEDIUM",N251&gt;4,"HIGH")</f>
        <v>HIGH</v>
      </c>
      <c r="P251">
        <v>0</v>
      </c>
      <c r="Q251">
        <v>0</v>
      </c>
      <c r="R251">
        <v>86</v>
      </c>
    </row>
    <row r="252" spans="1:18" x14ac:dyDescent="0.3">
      <c r="A252">
        <v>251</v>
      </c>
      <c r="B252" t="s">
        <v>415</v>
      </c>
      <c r="C252" t="s">
        <v>416</v>
      </c>
      <c r="D252" t="str">
        <f>_xlfn.CONCAT(EmpTable[[#This Row],[First Name]],EmpTable[[#This Row],[Last Name]])</f>
        <v>SharihanRihan</v>
      </c>
      <c r="E252" t="s">
        <v>307</v>
      </c>
      <c r="F252" s="1">
        <v>43869</v>
      </c>
      <c r="G252" s="2">
        <f ca="1">DATEDIF(EmpTable[[#This Row],[Start Date]],TODAY(),"Y")</f>
        <v>6</v>
      </c>
      <c r="H252" s="2" t="str" cm="1">
        <f t="array" aca="1" ref="H252" ca="1">_xlfn.IFS(G252&lt;=1,"Fresh",G252&lt;=3,"Junior",G252&lt;=7,"Teamlead",G252&gt;=7,"manger")</f>
        <v>Teamlead</v>
      </c>
      <c r="I252" t="s">
        <v>28</v>
      </c>
      <c r="J252" t="s">
        <v>18</v>
      </c>
      <c r="K252" t="s">
        <v>42</v>
      </c>
      <c r="L252">
        <v>2787</v>
      </c>
      <c r="M252">
        <v>33444</v>
      </c>
      <c r="N252">
        <v>3</v>
      </c>
      <c r="O252" t="str" cm="1">
        <f t="array" ref="O252">_xlfn.IFS(EmpTable[[#This Row],[Job Rate]] &lt;=1,"LOW",N252&lt;=2,"LOW",N252&lt;=3,"MEDIUM",N252&gt;4,"HIGH")</f>
        <v>MEDIUM</v>
      </c>
      <c r="P252">
        <v>3</v>
      </c>
      <c r="Q252">
        <v>0</v>
      </c>
      <c r="R252">
        <v>12</v>
      </c>
    </row>
    <row r="253" spans="1:18" x14ac:dyDescent="0.3">
      <c r="A253">
        <v>252</v>
      </c>
      <c r="B253" t="s">
        <v>146</v>
      </c>
      <c r="C253" t="s">
        <v>417</v>
      </c>
      <c r="D253" t="str">
        <f>_xlfn.CONCAT(EmpTable[[#This Row],[First Name]],EmpTable[[#This Row],[Last Name]])</f>
        <v>IbrahimAlyasin</v>
      </c>
      <c r="E253" t="s">
        <v>32</v>
      </c>
      <c r="F253" s="1">
        <v>43865</v>
      </c>
      <c r="G253" s="2">
        <f ca="1">DATEDIF(EmpTable[[#This Row],[Start Date]],TODAY(),"Y")</f>
        <v>6</v>
      </c>
      <c r="H253" s="2" t="str" cm="1">
        <f t="array" aca="1" ref="H253" ca="1">_xlfn.IFS(G253&lt;=1,"Fresh",G253&lt;=3,"Junior",G253&lt;=7,"Teamlead",G253&gt;=7,"manger")</f>
        <v>Teamlead</v>
      </c>
      <c r="I253" t="s">
        <v>77</v>
      </c>
      <c r="J253" t="s">
        <v>18</v>
      </c>
      <c r="K253" t="s">
        <v>36</v>
      </c>
      <c r="L253">
        <v>1095</v>
      </c>
      <c r="M253">
        <v>13140</v>
      </c>
      <c r="N253">
        <v>5</v>
      </c>
      <c r="O253" t="str" cm="1">
        <f t="array" ref="O253">_xlfn.IFS(EmpTable[[#This Row],[Job Rate]] &lt;=1,"LOW",N253&lt;=2,"LOW",N253&lt;=3,"MEDIUM",N253&gt;4,"HIGH")</f>
        <v>HIGH</v>
      </c>
      <c r="P253">
        <v>6</v>
      </c>
      <c r="Q253">
        <v>0</v>
      </c>
      <c r="R253">
        <v>5</v>
      </c>
    </row>
    <row r="254" spans="1:18" x14ac:dyDescent="0.3">
      <c r="A254">
        <v>253</v>
      </c>
      <c r="B254" t="s">
        <v>37</v>
      </c>
      <c r="C254" t="s">
        <v>418</v>
      </c>
      <c r="D254" t="str">
        <f>_xlfn.CONCAT(EmpTable[[#This Row],[First Name]],EmpTable[[#This Row],[Last Name]])</f>
        <v>IinMulaliyun</v>
      </c>
      <c r="E254" t="s">
        <v>307</v>
      </c>
      <c r="F254" s="1">
        <v>43936</v>
      </c>
      <c r="G254" s="2">
        <f ca="1">DATEDIF(EmpTable[[#This Row],[Start Date]],TODAY(),"Y")</f>
        <v>5</v>
      </c>
      <c r="H254" s="2" t="str" cm="1">
        <f t="array" aca="1" ref="H254" ca="1">_xlfn.IFS(G254&lt;=1,"Fresh",G254&lt;=3,"Junior",G254&lt;=7,"Teamlead",G254&gt;=7,"manger")</f>
        <v>Teamlead</v>
      </c>
      <c r="I254" t="s">
        <v>28</v>
      </c>
      <c r="J254" t="s">
        <v>22</v>
      </c>
      <c r="K254" t="s">
        <v>42</v>
      </c>
      <c r="L254">
        <v>2009</v>
      </c>
      <c r="M254">
        <v>24108</v>
      </c>
      <c r="N254">
        <v>5</v>
      </c>
      <c r="O254" t="str" cm="1">
        <f t="array" ref="O254">_xlfn.IFS(EmpTable[[#This Row],[Job Rate]] &lt;=1,"LOW",N254&lt;=2,"LOW",N254&lt;=3,"MEDIUM",N254&gt;4,"HIGH")</f>
        <v>HIGH</v>
      </c>
      <c r="P254">
        <v>0</v>
      </c>
      <c r="Q254">
        <v>0</v>
      </c>
      <c r="R254">
        <v>0</v>
      </c>
    </row>
    <row r="255" spans="1:18" x14ac:dyDescent="0.3">
      <c r="A255">
        <v>254</v>
      </c>
      <c r="B255" t="s">
        <v>419</v>
      </c>
      <c r="C255" t="s">
        <v>420</v>
      </c>
      <c r="D255" t="str">
        <f>_xlfn.CONCAT(EmpTable[[#This Row],[First Name]],EmpTable[[#This Row],[Last Name]])</f>
        <v>DanahAlmahdi</v>
      </c>
      <c r="E255" t="s">
        <v>307</v>
      </c>
      <c r="F255" s="1">
        <v>42557</v>
      </c>
      <c r="G255" s="2">
        <f ca="1">DATEDIF(EmpTable[[#This Row],[Start Date]],TODAY(),"Y")</f>
        <v>9</v>
      </c>
      <c r="H255" s="2" t="str" cm="1">
        <f t="array" aca="1" ref="H255" ca="1">_xlfn.IFS(G255&lt;=1,"Fresh",G255&lt;=3,"Junior",G255&lt;=7,"Teamlead",G255&gt;=7,"manger")</f>
        <v>manger</v>
      </c>
      <c r="I255" t="s">
        <v>93</v>
      </c>
      <c r="J255" t="s">
        <v>18</v>
      </c>
      <c r="K255" t="s">
        <v>36</v>
      </c>
      <c r="L255">
        <v>1837</v>
      </c>
      <c r="M255">
        <v>22044</v>
      </c>
      <c r="N255">
        <v>3</v>
      </c>
      <c r="O255" t="str" cm="1">
        <f t="array" ref="O255">_xlfn.IFS(EmpTable[[#This Row],[Job Rate]] &lt;=1,"LOW",N255&lt;=2,"LOW",N255&lt;=3,"MEDIUM",N255&gt;4,"HIGH")</f>
        <v>MEDIUM</v>
      </c>
      <c r="P255">
        <v>1</v>
      </c>
      <c r="Q255">
        <v>0</v>
      </c>
      <c r="R255">
        <v>2</v>
      </c>
    </row>
    <row r="256" spans="1:18" x14ac:dyDescent="0.3">
      <c r="A256">
        <v>255</v>
      </c>
      <c r="B256" t="s">
        <v>33</v>
      </c>
      <c r="C256" t="s">
        <v>421</v>
      </c>
      <c r="D256" t="str">
        <f>_xlfn.CONCAT(EmpTable[[#This Row],[First Name]],EmpTable[[#This Row],[Last Name]])</f>
        <v>MuhamadSakar</v>
      </c>
      <c r="E256" t="s">
        <v>32</v>
      </c>
      <c r="F256" s="1">
        <v>43729</v>
      </c>
      <c r="G256" s="2">
        <f ca="1">DATEDIF(EmpTable[[#This Row],[Start Date]],TODAY(),"Y")</f>
        <v>6</v>
      </c>
      <c r="H256" s="2" t="str" cm="1">
        <f t="array" aca="1" ref="H256" ca="1">_xlfn.IFS(G256&lt;=1,"Fresh",G256&lt;=3,"Junior",G256&lt;=7,"Teamlead",G256&gt;=7,"manger")</f>
        <v>Teamlead</v>
      </c>
      <c r="I256" t="s">
        <v>76</v>
      </c>
      <c r="J256" t="s">
        <v>22</v>
      </c>
      <c r="K256" t="s">
        <v>42</v>
      </c>
      <c r="L256">
        <v>3109</v>
      </c>
      <c r="M256">
        <v>37308</v>
      </c>
      <c r="N256">
        <v>3</v>
      </c>
      <c r="O256" t="str" cm="1">
        <f t="array" ref="O256">_xlfn.IFS(EmpTable[[#This Row],[Job Rate]] &lt;=1,"LOW",N256&lt;=2,"LOW",N256&lt;=3,"MEDIUM",N256&gt;4,"HIGH")</f>
        <v>MEDIUM</v>
      </c>
      <c r="P256">
        <v>1</v>
      </c>
      <c r="Q256">
        <v>0</v>
      </c>
      <c r="R256">
        <v>9</v>
      </c>
    </row>
    <row r="257" spans="1:18" x14ac:dyDescent="0.3">
      <c r="A257">
        <v>256</v>
      </c>
      <c r="B257" t="s">
        <v>375</v>
      </c>
      <c r="C257" t="s">
        <v>301</v>
      </c>
      <c r="D257" t="str">
        <f>_xlfn.CONCAT(EmpTable[[#This Row],[First Name]],EmpTable[[#This Row],[Last Name]])</f>
        <v>LamaYasin</v>
      </c>
      <c r="E257" t="s">
        <v>307</v>
      </c>
      <c r="F257" s="1">
        <v>43982</v>
      </c>
      <c r="G257" s="2">
        <f ca="1">DATEDIF(EmpTable[[#This Row],[Start Date]],TODAY(),"Y")</f>
        <v>5</v>
      </c>
      <c r="H257" s="2" t="str" cm="1">
        <f t="array" aca="1" ref="H257" ca="1">_xlfn.IFS(G257&lt;=1,"Fresh",G257&lt;=3,"Junior",G257&lt;=7,"Teamlead",G257&gt;=7,"manger")</f>
        <v>Teamlead</v>
      </c>
      <c r="I257" t="s">
        <v>28</v>
      </c>
      <c r="J257" t="s">
        <v>18</v>
      </c>
      <c r="K257" t="s">
        <v>42</v>
      </c>
      <c r="L257">
        <v>2832</v>
      </c>
      <c r="M257">
        <v>33984</v>
      </c>
      <c r="N257">
        <v>5</v>
      </c>
      <c r="O257" t="str" cm="1">
        <f t="array" ref="O257">_xlfn.IFS(EmpTable[[#This Row],[Job Rate]] &lt;=1,"LOW",N257&lt;=2,"LOW",N257&lt;=3,"MEDIUM",N257&gt;4,"HIGH")</f>
        <v>HIGH</v>
      </c>
      <c r="P257">
        <v>1</v>
      </c>
      <c r="Q257">
        <v>0</v>
      </c>
      <c r="R257">
        <v>5</v>
      </c>
    </row>
    <row r="258" spans="1:18" x14ac:dyDescent="0.3">
      <c r="A258">
        <v>257</v>
      </c>
      <c r="B258" t="s">
        <v>422</v>
      </c>
      <c r="C258" t="s">
        <v>423</v>
      </c>
      <c r="D258" t="str">
        <f>_xlfn.CONCAT(EmpTable[[#This Row],[First Name]],EmpTable[[#This Row],[Last Name]])</f>
        <v>AsfAbultif</v>
      </c>
      <c r="E258" t="s">
        <v>32</v>
      </c>
      <c r="F258" s="1">
        <v>43466</v>
      </c>
      <c r="G258" s="2">
        <f ca="1">DATEDIF(EmpTable[[#This Row],[Start Date]],TODAY(),"Y")</f>
        <v>7</v>
      </c>
      <c r="H258" s="2" t="str" cm="1">
        <f t="array" aca="1" ref="H258" ca="1">_xlfn.IFS(G258&lt;=1,"Fresh",G258&lt;=3,"Junior",G258&lt;=7,"Teamlead",G258&gt;=7,"manger")</f>
        <v>Teamlead</v>
      </c>
      <c r="I258" t="s">
        <v>28</v>
      </c>
      <c r="J258" t="s">
        <v>18</v>
      </c>
      <c r="K258" t="s">
        <v>42</v>
      </c>
      <c r="L258">
        <v>2940</v>
      </c>
      <c r="M258">
        <v>35280</v>
      </c>
      <c r="N258">
        <v>1</v>
      </c>
      <c r="O258" t="str" cm="1">
        <f t="array" ref="O258">_xlfn.IFS(EmpTable[[#This Row],[Job Rate]] &lt;=1,"LOW",N258&lt;=2,"LOW",N258&lt;=3,"MEDIUM",N258&gt;4,"HIGH")</f>
        <v>LOW</v>
      </c>
      <c r="P258">
        <v>6</v>
      </c>
      <c r="Q258">
        <v>4</v>
      </c>
      <c r="R258">
        <v>7</v>
      </c>
    </row>
    <row r="259" spans="1:18" x14ac:dyDescent="0.3">
      <c r="A259">
        <v>258</v>
      </c>
      <c r="B259" t="s">
        <v>30</v>
      </c>
      <c r="C259" t="s">
        <v>424</v>
      </c>
      <c r="D259" t="str">
        <f>_xlfn.CONCAT(EmpTable[[#This Row],[First Name]],EmpTable[[#This Row],[Last Name]])</f>
        <v>AhmadAlshalaq</v>
      </c>
      <c r="E259" t="s">
        <v>32</v>
      </c>
      <c r="F259" s="1">
        <v>43560</v>
      </c>
      <c r="G259" s="2">
        <f ca="1">DATEDIF(EmpTable[[#This Row],[Start Date]],TODAY(),"Y")</f>
        <v>6</v>
      </c>
      <c r="H259" s="2" t="str" cm="1">
        <f t="array" aca="1" ref="H259" ca="1">_xlfn.IFS(G259&lt;=1,"Fresh",G259&lt;=3,"Junior",G259&lt;=7,"Teamlead",G259&gt;=7,"manger")</f>
        <v>Teamlead</v>
      </c>
      <c r="I259" t="s">
        <v>35</v>
      </c>
      <c r="J259" t="s">
        <v>48</v>
      </c>
      <c r="K259" t="s">
        <v>36</v>
      </c>
      <c r="L259">
        <v>983</v>
      </c>
      <c r="M259">
        <v>11796</v>
      </c>
      <c r="N259">
        <v>5</v>
      </c>
      <c r="O259" t="str" cm="1">
        <f t="array" ref="O259">_xlfn.IFS(EmpTable[[#This Row],[Job Rate]] &lt;=1,"LOW",N259&lt;=2,"LOW",N259&lt;=3,"MEDIUM",N259&gt;4,"HIGH")</f>
        <v>HIGH</v>
      </c>
      <c r="P259">
        <v>0</v>
      </c>
      <c r="Q259">
        <v>0</v>
      </c>
      <c r="R259">
        <v>13</v>
      </c>
    </row>
    <row r="260" spans="1:18" x14ac:dyDescent="0.3">
      <c r="A260">
        <v>259</v>
      </c>
      <c r="B260" t="s">
        <v>170</v>
      </c>
      <c r="C260" t="s">
        <v>425</v>
      </c>
      <c r="D260" t="str">
        <f>_xlfn.CONCAT(EmpTable[[#This Row],[First Name]],EmpTable[[#This Row],[Last Name]])</f>
        <v>MazinZawal</v>
      </c>
      <c r="E260" t="s">
        <v>32</v>
      </c>
      <c r="F260" s="1">
        <v>43941</v>
      </c>
      <c r="G260" s="2">
        <f ca="1">DATEDIF(EmpTable[[#This Row],[Start Date]],TODAY(),"Y")</f>
        <v>5</v>
      </c>
      <c r="H260" s="2" t="str" cm="1">
        <f t="array" aca="1" ref="H260" ca="1">_xlfn.IFS(G260&lt;=1,"Fresh",G260&lt;=3,"Junior",G260&lt;=7,"Teamlead",G260&gt;=7,"manger")</f>
        <v>Teamlead</v>
      </c>
      <c r="I260" t="s">
        <v>50</v>
      </c>
      <c r="J260" t="s">
        <v>18</v>
      </c>
      <c r="K260" t="s">
        <v>36</v>
      </c>
      <c r="L260">
        <v>1223</v>
      </c>
      <c r="M260">
        <v>14676</v>
      </c>
      <c r="N260">
        <v>1</v>
      </c>
      <c r="O260" t="str" cm="1">
        <f t="array" ref="O260">_xlfn.IFS(EmpTable[[#This Row],[Job Rate]] &lt;=1,"LOW",N260&lt;=2,"LOW",N260&lt;=3,"MEDIUM",N260&gt;4,"HIGH")</f>
        <v>LOW</v>
      </c>
      <c r="P260">
        <v>6</v>
      </c>
      <c r="Q260">
        <v>0</v>
      </c>
      <c r="R260">
        <v>10</v>
      </c>
    </row>
    <row r="261" spans="1:18" x14ac:dyDescent="0.3">
      <c r="A261">
        <v>260</v>
      </c>
      <c r="B261" t="s">
        <v>426</v>
      </c>
      <c r="C261" t="s">
        <v>427</v>
      </c>
      <c r="D261" t="str">
        <f>_xlfn.CONCAT(EmpTable[[#This Row],[First Name]],EmpTable[[#This Row],[Last Name]])</f>
        <v>DianaAleabd</v>
      </c>
      <c r="E261" t="s">
        <v>307</v>
      </c>
      <c r="F261" s="1">
        <v>44025</v>
      </c>
      <c r="G261" s="2">
        <f ca="1">DATEDIF(EmpTable[[#This Row],[Start Date]],TODAY(),"Y")</f>
        <v>5</v>
      </c>
      <c r="H261" s="2" t="str" cm="1">
        <f t="array" aca="1" ref="H261" ca="1">_xlfn.IFS(G261&lt;=1,"Fresh",G261&lt;=3,"Junior",G261&lt;=7,"Teamlead",G261&gt;=7,"manger")</f>
        <v>Teamlead</v>
      </c>
      <c r="I261" t="s">
        <v>144</v>
      </c>
      <c r="J261" t="s">
        <v>18</v>
      </c>
      <c r="K261" t="s">
        <v>36</v>
      </c>
      <c r="L261">
        <v>833</v>
      </c>
      <c r="M261">
        <v>9996</v>
      </c>
      <c r="N261">
        <v>1</v>
      </c>
      <c r="O261" t="str" cm="1">
        <f t="array" ref="O261">_xlfn.IFS(EmpTable[[#This Row],[Job Rate]] &lt;=1,"LOW",N261&lt;=2,"LOW",N261&lt;=3,"MEDIUM",N261&gt;4,"HIGH")</f>
        <v>LOW</v>
      </c>
      <c r="P261">
        <v>1</v>
      </c>
      <c r="Q261">
        <v>0</v>
      </c>
      <c r="R261">
        <v>5</v>
      </c>
    </row>
    <row r="262" spans="1:18" x14ac:dyDescent="0.3">
      <c r="A262">
        <v>261</v>
      </c>
      <c r="B262" t="s">
        <v>428</v>
      </c>
      <c r="C262" t="s">
        <v>429</v>
      </c>
      <c r="D262" t="str">
        <f>_xlfn.CONCAT(EmpTable[[#This Row],[First Name]],EmpTable[[#This Row],[Last Name]])</f>
        <v>KawkabQarqazan</v>
      </c>
      <c r="E262" t="s">
        <v>307</v>
      </c>
      <c r="F262" s="1">
        <v>43230</v>
      </c>
      <c r="G262" s="2">
        <f ca="1">DATEDIF(EmpTable[[#This Row],[Start Date]],TODAY(),"Y")</f>
        <v>7</v>
      </c>
      <c r="H262" s="2" t="str" cm="1">
        <f t="array" aca="1" ref="H262" ca="1">_xlfn.IFS(G262&lt;=1,"Fresh",G262&lt;=3,"Junior",G262&lt;=7,"Teamlead",G262&gt;=7,"manger")</f>
        <v>Teamlead</v>
      </c>
      <c r="I262" t="s">
        <v>17</v>
      </c>
      <c r="J262" t="s">
        <v>18</v>
      </c>
      <c r="K262" t="s">
        <v>19</v>
      </c>
      <c r="L262">
        <v>2074</v>
      </c>
      <c r="M262">
        <v>24888</v>
      </c>
      <c r="N262">
        <v>3</v>
      </c>
      <c r="O262" t="str" cm="1">
        <f t="array" ref="O262">_xlfn.IFS(EmpTable[[#This Row],[Job Rate]] &lt;=1,"LOW",N262&lt;=2,"LOW",N262&lt;=3,"MEDIUM",N262&gt;4,"HIGH")</f>
        <v>MEDIUM</v>
      </c>
      <c r="P262">
        <v>1</v>
      </c>
      <c r="Q262">
        <v>0</v>
      </c>
      <c r="R262">
        <v>2</v>
      </c>
    </row>
    <row r="263" spans="1:18" x14ac:dyDescent="0.3">
      <c r="A263">
        <v>262</v>
      </c>
      <c r="B263" t="s">
        <v>430</v>
      </c>
      <c r="C263" t="s">
        <v>431</v>
      </c>
      <c r="D263" t="str">
        <f>_xlfn.CONCAT(EmpTable[[#This Row],[First Name]],EmpTable[[#This Row],[Last Name]])</f>
        <v>ThamirAbu Ghazy</v>
      </c>
      <c r="E263" t="s">
        <v>32</v>
      </c>
      <c r="F263" s="1">
        <v>43171</v>
      </c>
      <c r="G263" s="2">
        <f ca="1">DATEDIF(EmpTable[[#This Row],[Start Date]],TODAY(),"Y")</f>
        <v>8</v>
      </c>
      <c r="H263" s="2" t="str" cm="1">
        <f t="array" aca="1" ref="H263" ca="1">_xlfn.IFS(G263&lt;=1,"Fresh",G263&lt;=3,"Junior",G263&lt;=7,"Teamlead",G263&gt;=7,"manger")</f>
        <v>manger</v>
      </c>
      <c r="I263" t="s">
        <v>17</v>
      </c>
      <c r="J263" t="s">
        <v>29</v>
      </c>
      <c r="K263" t="s">
        <v>60</v>
      </c>
      <c r="L263">
        <v>2811</v>
      </c>
      <c r="M263">
        <v>33732</v>
      </c>
      <c r="N263">
        <v>3</v>
      </c>
      <c r="O263" t="str" cm="1">
        <f t="array" ref="O263">_xlfn.IFS(EmpTable[[#This Row],[Job Rate]] &lt;=1,"LOW",N263&lt;=2,"LOW",N263&lt;=3,"MEDIUM",N263&gt;4,"HIGH")</f>
        <v>MEDIUM</v>
      </c>
      <c r="P263">
        <v>0</v>
      </c>
      <c r="Q263">
        <v>1</v>
      </c>
      <c r="R263">
        <v>9</v>
      </c>
    </row>
    <row r="264" spans="1:18" x14ac:dyDescent="0.3">
      <c r="A264">
        <v>263</v>
      </c>
      <c r="B264" t="s">
        <v>33</v>
      </c>
      <c r="C264" t="s">
        <v>432</v>
      </c>
      <c r="D264" t="str">
        <f>_xlfn.CONCAT(EmpTable[[#This Row],[First Name]],EmpTable[[#This Row],[Last Name]])</f>
        <v>MuhamadAlabth</v>
      </c>
      <c r="E264" t="s">
        <v>32</v>
      </c>
      <c r="F264" s="1">
        <v>43731</v>
      </c>
      <c r="G264" s="2">
        <f ca="1">DATEDIF(EmpTable[[#This Row],[Start Date]],TODAY(),"Y")</f>
        <v>6</v>
      </c>
      <c r="H264" s="2" t="str" cm="1">
        <f t="array" aca="1" ref="H264" ca="1">_xlfn.IFS(G264&lt;=1,"Fresh",G264&lt;=3,"Junior",G264&lt;=7,"Teamlead",G264&gt;=7,"manger")</f>
        <v>Teamlead</v>
      </c>
      <c r="I264" t="s">
        <v>17</v>
      </c>
      <c r="J264" t="s">
        <v>22</v>
      </c>
      <c r="K264" t="s">
        <v>36</v>
      </c>
      <c r="L264">
        <v>1436</v>
      </c>
      <c r="M264">
        <v>17232</v>
      </c>
      <c r="N264">
        <v>4.5</v>
      </c>
      <c r="O264" t="str" cm="1">
        <f t="array" ref="O264">_xlfn.IFS(EmpTable[[#This Row],[Job Rate]] &lt;=1,"LOW",N264&lt;=2,"LOW",N264&lt;=3,"MEDIUM",N264&gt;4,"HIGH")</f>
        <v>HIGH</v>
      </c>
      <c r="P264">
        <v>3</v>
      </c>
      <c r="Q264">
        <v>4</v>
      </c>
      <c r="R264">
        <v>4</v>
      </c>
    </row>
    <row r="265" spans="1:18" x14ac:dyDescent="0.3">
      <c r="A265">
        <v>264</v>
      </c>
      <c r="B265" t="s">
        <v>433</v>
      </c>
      <c r="C265" t="s">
        <v>434</v>
      </c>
      <c r="D265" t="str">
        <f>_xlfn.CONCAT(EmpTable[[#This Row],[First Name]],EmpTable[[#This Row],[Last Name]])</f>
        <v>KhadijahAbu Taqih</v>
      </c>
      <c r="E265" t="s">
        <v>307</v>
      </c>
      <c r="F265" s="1">
        <v>43647</v>
      </c>
      <c r="G265" s="2">
        <f ca="1">DATEDIF(EmpTable[[#This Row],[Start Date]],TODAY(),"Y")</f>
        <v>6</v>
      </c>
      <c r="H265" s="2" t="str" cm="1">
        <f t="array" aca="1" ref="H265" ca="1">_xlfn.IFS(G265&lt;=1,"Fresh",G265&lt;=3,"Junior",G265&lt;=7,"Teamlead",G265&gt;=7,"manger")</f>
        <v>Teamlead</v>
      </c>
      <c r="I265" t="s">
        <v>28</v>
      </c>
      <c r="J265" t="s">
        <v>18</v>
      </c>
      <c r="K265" t="s">
        <v>36</v>
      </c>
      <c r="L265">
        <v>1041</v>
      </c>
      <c r="M265">
        <v>12492</v>
      </c>
      <c r="N265">
        <v>2</v>
      </c>
      <c r="O265" t="str" cm="1">
        <f t="array" ref="O265">_xlfn.IFS(EmpTable[[#This Row],[Job Rate]] &lt;=1,"LOW",N265&lt;=2,"LOW",N265&lt;=3,"MEDIUM",N265&gt;4,"HIGH")</f>
        <v>LOW</v>
      </c>
      <c r="P265">
        <v>2</v>
      </c>
      <c r="Q265">
        <v>0</v>
      </c>
      <c r="R265">
        <v>5</v>
      </c>
    </row>
    <row r="266" spans="1:18" x14ac:dyDescent="0.3">
      <c r="A266">
        <v>265</v>
      </c>
      <c r="B266" t="s">
        <v>435</v>
      </c>
      <c r="C266" t="s">
        <v>436</v>
      </c>
      <c r="D266" t="str">
        <f>_xlfn.CONCAT(EmpTable[[#This Row],[First Name]],EmpTable[[#This Row],[Last Name]])</f>
        <v>SalwaaAlsyd</v>
      </c>
      <c r="E266" t="s">
        <v>307</v>
      </c>
      <c r="F266" s="1">
        <v>43266</v>
      </c>
      <c r="G266" s="2">
        <f ca="1">DATEDIF(EmpTable[[#This Row],[Start Date]],TODAY(),"Y")</f>
        <v>7</v>
      </c>
      <c r="H266" s="2" t="str" cm="1">
        <f t="array" aca="1" ref="H266" ca="1">_xlfn.IFS(G266&lt;=1,"Fresh",G266&lt;=3,"Junior",G266&lt;=7,"Teamlead",G266&gt;=7,"manger")</f>
        <v>Teamlead</v>
      </c>
      <c r="I266" t="s">
        <v>17</v>
      </c>
      <c r="J266" t="s">
        <v>18</v>
      </c>
      <c r="K266" t="s">
        <v>42</v>
      </c>
      <c r="L266">
        <v>2231</v>
      </c>
      <c r="M266">
        <v>26772</v>
      </c>
      <c r="N266">
        <v>3</v>
      </c>
      <c r="O266" t="str" cm="1">
        <f t="array" ref="O266">_xlfn.IFS(EmpTable[[#This Row],[Job Rate]] &lt;=1,"LOW",N266&lt;=2,"LOW",N266&lt;=3,"MEDIUM",N266&gt;4,"HIGH")</f>
        <v>MEDIUM</v>
      </c>
      <c r="P266">
        <v>0</v>
      </c>
      <c r="Q266">
        <v>0</v>
      </c>
      <c r="R266">
        <v>87</v>
      </c>
    </row>
    <row r="267" spans="1:18" x14ac:dyDescent="0.3">
      <c r="A267">
        <v>266</v>
      </c>
      <c r="B267" t="s">
        <v>437</v>
      </c>
      <c r="C267" t="s">
        <v>438</v>
      </c>
      <c r="D267" t="str">
        <f>_xlfn.CONCAT(EmpTable[[#This Row],[First Name]],EmpTable[[#This Row],[Last Name]])</f>
        <v>MuayidShbyb</v>
      </c>
      <c r="E267" t="s">
        <v>32</v>
      </c>
      <c r="F267" s="1">
        <v>43512</v>
      </c>
      <c r="G267" s="2">
        <f ca="1">DATEDIF(EmpTable[[#This Row],[Start Date]],TODAY(),"Y")</f>
        <v>7</v>
      </c>
      <c r="H267" s="2" t="str" cm="1">
        <f t="array" aca="1" ref="H267" ca="1">_xlfn.IFS(G267&lt;=1,"Fresh",G267&lt;=3,"Junior",G267&lt;=7,"Teamlead",G267&gt;=7,"manger")</f>
        <v>Teamlead</v>
      </c>
      <c r="I267" t="s">
        <v>58</v>
      </c>
      <c r="J267" t="s">
        <v>29</v>
      </c>
      <c r="K267" t="s">
        <v>19</v>
      </c>
      <c r="L267">
        <v>1036</v>
      </c>
      <c r="M267">
        <v>12432</v>
      </c>
      <c r="N267">
        <v>3</v>
      </c>
      <c r="O267" t="str" cm="1">
        <f t="array" ref="O267">_xlfn.IFS(EmpTable[[#This Row],[Job Rate]] &lt;=1,"LOW",N267&lt;=2,"LOW",N267&lt;=3,"MEDIUM",N267&gt;4,"HIGH")</f>
        <v>MEDIUM</v>
      </c>
      <c r="P267">
        <v>0</v>
      </c>
      <c r="Q267">
        <v>0</v>
      </c>
      <c r="R267">
        <v>1</v>
      </c>
    </row>
    <row r="268" spans="1:18" x14ac:dyDescent="0.3">
      <c r="A268">
        <v>267</v>
      </c>
      <c r="B268" t="s">
        <v>439</v>
      </c>
      <c r="C268" t="s">
        <v>440</v>
      </c>
      <c r="D268" t="str">
        <f>_xlfn.CONCAT(EmpTable[[#This Row],[First Name]],EmpTable[[#This Row],[Last Name]])</f>
        <v>RannymTyru</v>
      </c>
      <c r="E268" t="s">
        <v>307</v>
      </c>
      <c r="F268" s="1">
        <v>44119</v>
      </c>
      <c r="G268" s="2">
        <f ca="1">DATEDIF(EmpTable[[#This Row],[Start Date]],TODAY(),"Y")</f>
        <v>5</v>
      </c>
      <c r="H268" s="2" t="str" cm="1">
        <f t="array" aca="1" ref="H268" ca="1">_xlfn.IFS(G268&lt;=1,"Fresh",G268&lt;=3,"Junior",G268&lt;=7,"Teamlead",G268&gt;=7,"manger")</f>
        <v>Teamlead</v>
      </c>
      <c r="I268" t="s">
        <v>17</v>
      </c>
      <c r="J268" t="s">
        <v>18</v>
      </c>
      <c r="K268" t="s">
        <v>36</v>
      </c>
      <c r="L268">
        <v>2143</v>
      </c>
      <c r="M268">
        <v>25716</v>
      </c>
      <c r="N268">
        <v>5</v>
      </c>
      <c r="O268" t="str" cm="1">
        <f t="array" ref="O268">_xlfn.IFS(EmpTable[[#This Row],[Job Rate]] &lt;=1,"LOW",N268&lt;=2,"LOW",N268&lt;=3,"MEDIUM",N268&gt;4,"HIGH")</f>
        <v>HIGH</v>
      </c>
      <c r="P268">
        <v>0</v>
      </c>
      <c r="Q268">
        <v>0</v>
      </c>
      <c r="R268">
        <v>45</v>
      </c>
    </row>
    <row r="269" spans="1:18" x14ac:dyDescent="0.3">
      <c r="A269">
        <v>268</v>
      </c>
      <c r="B269" t="s">
        <v>37</v>
      </c>
      <c r="C269" t="s">
        <v>441</v>
      </c>
      <c r="D269" t="str">
        <f>_xlfn.CONCAT(EmpTable[[#This Row],[First Name]],EmpTable[[#This Row],[Last Name]])</f>
        <v>IinAlhaju Bikr</v>
      </c>
      <c r="E269" t="s">
        <v>307</v>
      </c>
      <c r="F269" s="1">
        <v>43837</v>
      </c>
      <c r="G269" s="2">
        <f ca="1">DATEDIF(EmpTable[[#This Row],[Start Date]],TODAY(),"Y")</f>
        <v>6</v>
      </c>
      <c r="H269" s="2" t="str" cm="1">
        <f t="array" aca="1" ref="H269" ca="1">_xlfn.IFS(G269&lt;=1,"Fresh",G269&lt;=3,"Junior",G269&lt;=7,"Teamlead",G269&gt;=7,"manger")</f>
        <v>Teamlead</v>
      </c>
      <c r="I269" t="s">
        <v>77</v>
      </c>
      <c r="J269" t="s">
        <v>29</v>
      </c>
      <c r="K269" t="s">
        <v>60</v>
      </c>
      <c r="L269">
        <v>967</v>
      </c>
      <c r="M269">
        <v>11604</v>
      </c>
      <c r="N269">
        <v>5</v>
      </c>
      <c r="O269" t="str" cm="1">
        <f t="array" ref="O269">_xlfn.IFS(EmpTable[[#This Row],[Job Rate]] &lt;=1,"LOW",N269&lt;=2,"LOW",N269&lt;=3,"MEDIUM",N269&gt;4,"HIGH")</f>
        <v>HIGH</v>
      </c>
      <c r="P269">
        <v>0</v>
      </c>
      <c r="Q269">
        <v>4</v>
      </c>
      <c r="R269">
        <v>9</v>
      </c>
    </row>
    <row r="270" spans="1:18" x14ac:dyDescent="0.3">
      <c r="A270">
        <v>269</v>
      </c>
      <c r="B270" t="s">
        <v>246</v>
      </c>
      <c r="C270" t="s">
        <v>442</v>
      </c>
      <c r="D270" t="str">
        <f>_xlfn.CONCAT(EmpTable[[#This Row],[First Name]],EmpTable[[#This Row],[Last Name]])</f>
        <v>JihadAldukifi</v>
      </c>
      <c r="E270" t="s">
        <v>32</v>
      </c>
      <c r="F270" s="1">
        <v>44028</v>
      </c>
      <c r="G270" s="2">
        <f ca="1">DATEDIF(EmpTable[[#This Row],[Start Date]],TODAY(),"Y")</f>
        <v>5</v>
      </c>
      <c r="H270" s="2" t="str" cm="1">
        <f t="array" aca="1" ref="H270" ca="1">_xlfn.IFS(G270&lt;=1,"Fresh",G270&lt;=3,"Junior",G270&lt;=7,"Teamlead",G270&gt;=7,"manger")</f>
        <v>Teamlead</v>
      </c>
      <c r="I270" t="s">
        <v>35</v>
      </c>
      <c r="J270" t="s">
        <v>18</v>
      </c>
      <c r="K270" t="s">
        <v>60</v>
      </c>
      <c r="L270">
        <v>2510</v>
      </c>
      <c r="M270">
        <v>30120</v>
      </c>
      <c r="N270">
        <v>1</v>
      </c>
      <c r="O270" t="str" cm="1">
        <f t="array" ref="O270">_xlfn.IFS(EmpTable[[#This Row],[Job Rate]] &lt;=1,"LOW",N270&lt;=2,"LOW",N270&lt;=3,"MEDIUM",N270&gt;4,"HIGH")</f>
        <v>LOW</v>
      </c>
      <c r="P270">
        <v>0</v>
      </c>
      <c r="Q270">
        <v>0</v>
      </c>
      <c r="R270">
        <v>3</v>
      </c>
    </row>
    <row r="271" spans="1:18" x14ac:dyDescent="0.3">
      <c r="A271">
        <v>270</v>
      </c>
      <c r="B271" t="s">
        <v>443</v>
      </c>
      <c r="C271" t="s">
        <v>444</v>
      </c>
      <c r="D271" t="str">
        <f>_xlfn.CONCAT(EmpTable[[#This Row],[First Name]],EmpTable[[#This Row],[Last Name]])</f>
        <v>SanduranaAntun</v>
      </c>
      <c r="E271" t="s">
        <v>307</v>
      </c>
      <c r="F271" s="1">
        <v>43555</v>
      </c>
      <c r="G271" s="2">
        <f ca="1">DATEDIF(EmpTable[[#This Row],[Start Date]],TODAY(),"Y")</f>
        <v>7</v>
      </c>
      <c r="H271" s="2" t="str" cm="1">
        <f t="array" aca="1" ref="H271" ca="1">_xlfn.IFS(G271&lt;=1,"Fresh",G271&lt;=3,"Junior",G271&lt;=7,"Teamlead",G271&gt;=7,"manger")</f>
        <v>Teamlead</v>
      </c>
      <c r="I271" t="s">
        <v>58</v>
      </c>
      <c r="J271" t="s">
        <v>18</v>
      </c>
      <c r="K271" t="s">
        <v>42</v>
      </c>
      <c r="L271">
        <v>3364</v>
      </c>
      <c r="M271">
        <v>40368</v>
      </c>
      <c r="N271">
        <v>2</v>
      </c>
      <c r="O271" t="str" cm="1">
        <f t="array" ref="O271">_xlfn.IFS(EmpTable[[#This Row],[Job Rate]] &lt;=1,"LOW",N271&lt;=2,"LOW",N271&lt;=3,"MEDIUM",N271&gt;4,"HIGH")</f>
        <v>LOW</v>
      </c>
      <c r="P271">
        <v>0</v>
      </c>
      <c r="Q271">
        <v>0</v>
      </c>
      <c r="R271">
        <v>1</v>
      </c>
    </row>
    <row r="272" spans="1:18" x14ac:dyDescent="0.3">
      <c r="A272">
        <v>271</v>
      </c>
      <c r="B272" t="s">
        <v>89</v>
      </c>
      <c r="C272" t="s">
        <v>445</v>
      </c>
      <c r="D272" t="str">
        <f>_xlfn.CONCAT(EmpTable[[#This Row],[First Name]],EmpTable[[#This Row],[Last Name]])</f>
        <v>EalaDarkzifli</v>
      </c>
      <c r="E272" t="s">
        <v>307</v>
      </c>
      <c r="F272" s="1">
        <v>43471</v>
      </c>
      <c r="G272" s="2">
        <f ca="1">DATEDIF(EmpTable[[#This Row],[Start Date]],TODAY(),"Y")</f>
        <v>7</v>
      </c>
      <c r="H272" s="2" t="str" cm="1">
        <f t="array" aca="1" ref="H272" ca="1">_xlfn.IFS(G272&lt;=1,"Fresh",G272&lt;=3,"Junior",G272&lt;=7,"Teamlead",G272&gt;=7,"manger")</f>
        <v>Teamlead</v>
      </c>
      <c r="I272" t="s">
        <v>77</v>
      </c>
      <c r="J272" t="s">
        <v>18</v>
      </c>
      <c r="K272" t="s">
        <v>19</v>
      </c>
      <c r="L272">
        <v>3420</v>
      </c>
      <c r="M272">
        <v>41040</v>
      </c>
      <c r="N272">
        <v>5</v>
      </c>
      <c r="O272" t="str" cm="1">
        <f t="array" ref="O272">_xlfn.IFS(EmpTable[[#This Row],[Job Rate]] &lt;=1,"LOW",N272&lt;=2,"LOW",N272&lt;=3,"MEDIUM",N272&gt;4,"HIGH")</f>
        <v>HIGH</v>
      </c>
      <c r="P272">
        <v>6</v>
      </c>
      <c r="Q272">
        <v>0</v>
      </c>
      <c r="R272">
        <v>10</v>
      </c>
    </row>
    <row r="273" spans="1:18" x14ac:dyDescent="0.3">
      <c r="A273">
        <v>272</v>
      </c>
      <c r="B273" t="s">
        <v>69</v>
      </c>
      <c r="C273" t="s">
        <v>446</v>
      </c>
      <c r="D273" t="str">
        <f>_xlfn.CONCAT(EmpTable[[#This Row],[First Name]],EmpTable[[#This Row],[Last Name]])</f>
        <v>SamirAlsaeid</v>
      </c>
      <c r="E273" t="s">
        <v>32</v>
      </c>
      <c r="F273" s="1">
        <v>43722</v>
      </c>
      <c r="G273" s="2">
        <f ca="1">DATEDIF(EmpTable[[#This Row],[Start Date]],TODAY(),"Y")</f>
        <v>6</v>
      </c>
      <c r="H273" s="2" t="str" cm="1">
        <f t="array" aca="1" ref="H273" ca="1">_xlfn.IFS(G273&lt;=1,"Fresh",G273&lt;=3,"Junior",G273&lt;=7,"Teamlead",G273&gt;=7,"manger")</f>
        <v>Teamlead</v>
      </c>
      <c r="I273" t="s">
        <v>118</v>
      </c>
      <c r="J273" t="s">
        <v>29</v>
      </c>
      <c r="K273" t="s">
        <v>60</v>
      </c>
      <c r="L273">
        <v>2229</v>
      </c>
      <c r="M273">
        <v>26748</v>
      </c>
      <c r="N273">
        <v>3</v>
      </c>
      <c r="O273" t="str" cm="1">
        <f t="array" ref="O273">_xlfn.IFS(EmpTable[[#This Row],[Job Rate]] &lt;=1,"LOW",N273&lt;=2,"LOW",N273&lt;=3,"MEDIUM",N273&gt;4,"HIGH")</f>
        <v>MEDIUM</v>
      </c>
      <c r="P273">
        <v>3</v>
      </c>
      <c r="Q273">
        <v>0</v>
      </c>
      <c r="R273">
        <v>1</v>
      </c>
    </row>
    <row r="274" spans="1:18" x14ac:dyDescent="0.3">
      <c r="A274">
        <v>273</v>
      </c>
      <c r="B274" t="s">
        <v>302</v>
      </c>
      <c r="C274" t="s">
        <v>447</v>
      </c>
      <c r="D274" t="str">
        <f>_xlfn.CONCAT(EmpTable[[#This Row],[First Name]],EmpTable[[#This Row],[Last Name]])</f>
        <v>AmirAlhifar</v>
      </c>
      <c r="E274" t="s">
        <v>32</v>
      </c>
      <c r="F274" s="1">
        <v>43978</v>
      </c>
      <c r="G274" s="2">
        <f ca="1">DATEDIF(EmpTable[[#This Row],[Start Date]],TODAY(),"Y")</f>
        <v>5</v>
      </c>
      <c r="H274" s="2" t="str" cm="1">
        <f t="array" aca="1" ref="H274" ca="1">_xlfn.IFS(G274&lt;=1,"Fresh",G274&lt;=3,"Junior",G274&lt;=7,"Teamlead",G274&gt;=7,"manger")</f>
        <v>Teamlead</v>
      </c>
      <c r="I274" t="s">
        <v>118</v>
      </c>
      <c r="J274" t="s">
        <v>18</v>
      </c>
      <c r="K274" t="s">
        <v>19</v>
      </c>
      <c r="L274">
        <v>1910</v>
      </c>
      <c r="M274">
        <v>22920</v>
      </c>
      <c r="N274">
        <v>5</v>
      </c>
      <c r="O274" t="str" cm="1">
        <f t="array" ref="O274">_xlfn.IFS(EmpTable[[#This Row],[Job Rate]] &lt;=1,"LOW",N274&lt;=2,"LOW",N274&lt;=3,"MEDIUM",N274&gt;4,"HIGH")</f>
        <v>HIGH</v>
      </c>
      <c r="P274">
        <v>2</v>
      </c>
      <c r="Q274">
        <v>0</v>
      </c>
      <c r="R274">
        <v>5</v>
      </c>
    </row>
    <row r="275" spans="1:18" x14ac:dyDescent="0.3">
      <c r="A275">
        <v>274</v>
      </c>
      <c r="B275" t="s">
        <v>375</v>
      </c>
      <c r="C275" t="s">
        <v>216</v>
      </c>
      <c r="D275" t="str">
        <f>_xlfn.CONCAT(EmpTable[[#This Row],[First Name]],EmpTable[[#This Row],[Last Name]])</f>
        <v>LamaAlmala</v>
      </c>
      <c r="E275" t="s">
        <v>307</v>
      </c>
      <c r="F275" s="1">
        <v>43684</v>
      </c>
      <c r="G275" s="2">
        <f ca="1">DATEDIF(EmpTable[[#This Row],[Start Date]],TODAY(),"Y")</f>
        <v>6</v>
      </c>
      <c r="H275" s="2" t="str" cm="1">
        <f t="array" aca="1" ref="H275" ca="1">_xlfn.IFS(G275&lt;=1,"Fresh",G275&lt;=3,"Junior",G275&lt;=7,"Teamlead",G275&gt;=7,"manger")</f>
        <v>Teamlead</v>
      </c>
      <c r="I275" t="s">
        <v>76</v>
      </c>
      <c r="J275" t="s">
        <v>18</v>
      </c>
      <c r="K275" t="s">
        <v>36</v>
      </c>
      <c r="L275">
        <v>1917</v>
      </c>
      <c r="M275">
        <v>23004</v>
      </c>
      <c r="N275">
        <v>4.5</v>
      </c>
      <c r="O275" t="str" cm="1">
        <f t="array" ref="O275">_xlfn.IFS(EmpTable[[#This Row],[Job Rate]] &lt;=1,"LOW",N275&lt;=2,"LOW",N275&lt;=3,"MEDIUM",N275&gt;4,"HIGH")</f>
        <v>HIGH</v>
      </c>
      <c r="P275">
        <v>0</v>
      </c>
      <c r="Q275">
        <v>1</v>
      </c>
      <c r="R275">
        <v>84</v>
      </c>
    </row>
    <row r="276" spans="1:18" x14ac:dyDescent="0.3">
      <c r="A276">
        <v>275</v>
      </c>
      <c r="B276" t="s">
        <v>369</v>
      </c>
      <c r="C276" t="s">
        <v>448</v>
      </c>
      <c r="D276" t="str">
        <f>_xlfn.CONCAT(EmpTable[[#This Row],[First Name]],EmpTable[[#This Row],[Last Name]])</f>
        <v>HasanKalthum</v>
      </c>
      <c r="E276" t="s">
        <v>32</v>
      </c>
      <c r="F276" s="1">
        <v>43454</v>
      </c>
      <c r="G276" s="2">
        <f ca="1">DATEDIF(EmpTable[[#This Row],[Start Date]],TODAY(),"Y")</f>
        <v>7</v>
      </c>
      <c r="H276" s="2" t="str" cm="1">
        <f t="array" aca="1" ref="H276" ca="1">_xlfn.IFS(G276&lt;=1,"Fresh",G276&lt;=3,"Junior",G276&lt;=7,"Teamlead",G276&gt;=7,"manger")</f>
        <v>Teamlead</v>
      </c>
      <c r="I276" t="s">
        <v>17</v>
      </c>
      <c r="J276" t="s">
        <v>18</v>
      </c>
      <c r="K276" t="s">
        <v>36</v>
      </c>
      <c r="L276">
        <v>831</v>
      </c>
      <c r="M276">
        <v>9972</v>
      </c>
      <c r="N276">
        <v>1</v>
      </c>
      <c r="O276" t="str" cm="1">
        <f t="array" ref="O276">_xlfn.IFS(EmpTable[[#This Row],[Job Rate]] &lt;=1,"LOW",N276&lt;=2,"LOW",N276&lt;=3,"MEDIUM",N276&gt;4,"HIGH")</f>
        <v>LOW</v>
      </c>
      <c r="P276">
        <v>1</v>
      </c>
      <c r="Q276">
        <v>2</v>
      </c>
      <c r="R276">
        <v>7</v>
      </c>
    </row>
    <row r="277" spans="1:18" x14ac:dyDescent="0.3">
      <c r="A277">
        <v>276</v>
      </c>
      <c r="B277" t="s">
        <v>33</v>
      </c>
      <c r="C277" t="s">
        <v>449</v>
      </c>
      <c r="D277" t="str">
        <f>_xlfn.CONCAT(EmpTable[[#This Row],[First Name]],EmpTable[[#This Row],[Last Name]])</f>
        <v>MuhamadSaeadat</v>
      </c>
      <c r="E277" t="s">
        <v>32</v>
      </c>
      <c r="F277" s="1">
        <v>43652</v>
      </c>
      <c r="G277" s="2">
        <f ca="1">DATEDIF(EmpTable[[#This Row],[Start Date]],TODAY(),"Y")</f>
        <v>6</v>
      </c>
      <c r="H277" s="2" t="str" cm="1">
        <f t="array" aca="1" ref="H277" ca="1">_xlfn.IFS(G277&lt;=1,"Fresh",G277&lt;=3,"Junior",G277&lt;=7,"Teamlead",G277&gt;=7,"manger")</f>
        <v>Teamlead</v>
      </c>
      <c r="I277" t="s">
        <v>17</v>
      </c>
      <c r="J277" t="s">
        <v>29</v>
      </c>
      <c r="K277" t="s">
        <v>42</v>
      </c>
      <c r="L277">
        <v>2636</v>
      </c>
      <c r="M277">
        <v>31632</v>
      </c>
      <c r="N277">
        <v>4.5</v>
      </c>
      <c r="O277" t="str" cm="1">
        <f t="array" ref="O277">_xlfn.IFS(EmpTable[[#This Row],[Job Rate]] &lt;=1,"LOW",N277&lt;=2,"LOW",N277&lt;=3,"MEDIUM",N277&gt;4,"HIGH")</f>
        <v>HIGH</v>
      </c>
      <c r="P277">
        <v>0</v>
      </c>
      <c r="Q277">
        <v>2</v>
      </c>
      <c r="R277">
        <v>4</v>
      </c>
    </row>
    <row r="278" spans="1:18" x14ac:dyDescent="0.3">
      <c r="A278">
        <v>277</v>
      </c>
      <c r="B278" t="s">
        <v>82</v>
      </c>
      <c r="C278" t="s">
        <v>450</v>
      </c>
      <c r="D278" t="str">
        <f>_xlfn.CONCAT(EmpTable[[#This Row],[First Name]],EmpTable[[#This Row],[Last Name]])</f>
        <v>RanaEijrush</v>
      </c>
      <c r="E278" t="s">
        <v>307</v>
      </c>
      <c r="F278" s="1">
        <v>43348</v>
      </c>
      <c r="G278" s="2">
        <f ca="1">DATEDIF(EmpTable[[#This Row],[Start Date]],TODAY(),"Y")</f>
        <v>7</v>
      </c>
      <c r="H278" s="2" t="str" cm="1">
        <f t="array" aca="1" ref="H278" ca="1">_xlfn.IFS(G278&lt;=1,"Fresh",G278&lt;=3,"Junior",G278&lt;=7,"Teamlead",G278&gt;=7,"manger")</f>
        <v>Teamlead</v>
      </c>
      <c r="I278" t="s">
        <v>41</v>
      </c>
      <c r="J278" t="s">
        <v>48</v>
      </c>
      <c r="K278" t="s">
        <v>42</v>
      </c>
      <c r="L278">
        <v>2929</v>
      </c>
      <c r="M278">
        <v>35148</v>
      </c>
      <c r="N278">
        <v>2</v>
      </c>
      <c r="O278" t="str" cm="1">
        <f t="array" ref="O278">_xlfn.IFS(EmpTable[[#This Row],[Job Rate]] &lt;=1,"LOW",N278&lt;=2,"LOW",N278&lt;=3,"MEDIUM",N278&gt;4,"HIGH")</f>
        <v>LOW</v>
      </c>
      <c r="P278">
        <v>0</v>
      </c>
      <c r="Q278">
        <v>1</v>
      </c>
      <c r="R278">
        <v>4</v>
      </c>
    </row>
    <row r="279" spans="1:18" x14ac:dyDescent="0.3">
      <c r="A279">
        <v>278</v>
      </c>
      <c r="B279" t="s">
        <v>195</v>
      </c>
      <c r="C279" t="s">
        <v>451</v>
      </c>
      <c r="D279" t="str">
        <f>_xlfn.CONCAT(EmpTable[[#This Row],[First Name]],EmpTable[[#This Row],[Last Name]])</f>
        <v>TariqAlkinaya</v>
      </c>
      <c r="E279" t="s">
        <v>32</v>
      </c>
      <c r="F279" s="1">
        <v>43764</v>
      </c>
      <c r="G279" s="2">
        <f ca="1">DATEDIF(EmpTable[[#This Row],[Start Date]],TODAY(),"Y")</f>
        <v>6</v>
      </c>
      <c r="H279" s="2" t="str" cm="1">
        <f t="array" aca="1" ref="H279" ca="1">_xlfn.IFS(G279&lt;=1,"Fresh",G279&lt;=3,"Junior",G279&lt;=7,"Teamlead",G279&gt;=7,"manger")</f>
        <v>Teamlead</v>
      </c>
      <c r="I279" t="s">
        <v>17</v>
      </c>
      <c r="J279" t="s">
        <v>18</v>
      </c>
      <c r="K279" t="s">
        <v>36</v>
      </c>
      <c r="L279">
        <v>1255</v>
      </c>
      <c r="M279">
        <v>15060</v>
      </c>
      <c r="N279">
        <v>1</v>
      </c>
      <c r="O279" t="str" cm="1">
        <f t="array" ref="O279">_xlfn.IFS(EmpTable[[#This Row],[Job Rate]] &lt;=1,"LOW",N279&lt;=2,"LOW",N279&lt;=3,"MEDIUM",N279&gt;4,"HIGH")</f>
        <v>LOW</v>
      </c>
      <c r="P279">
        <v>6</v>
      </c>
      <c r="Q279">
        <v>0</v>
      </c>
      <c r="R279">
        <v>15</v>
      </c>
    </row>
    <row r="280" spans="1:18" x14ac:dyDescent="0.3">
      <c r="A280">
        <v>279</v>
      </c>
      <c r="B280" t="s">
        <v>272</v>
      </c>
      <c r="C280" t="s">
        <v>452</v>
      </c>
      <c r="D280" t="str">
        <f>_xlfn.CONCAT(EmpTable[[#This Row],[First Name]],EmpTable[[#This Row],[Last Name]])</f>
        <v>AmjadAlrz</v>
      </c>
      <c r="E280" t="s">
        <v>32</v>
      </c>
      <c r="F280" s="1">
        <v>43933</v>
      </c>
      <c r="G280" s="2">
        <f ca="1">DATEDIF(EmpTable[[#This Row],[Start Date]],TODAY(),"Y")</f>
        <v>5</v>
      </c>
      <c r="H280" s="2" t="str" cm="1">
        <f t="array" aca="1" ref="H280" ca="1">_xlfn.IFS(G280&lt;=1,"Fresh",G280&lt;=3,"Junior",G280&lt;=7,"Teamlead",G280&gt;=7,"manger")</f>
        <v>Teamlead</v>
      </c>
      <c r="I280" t="s">
        <v>17</v>
      </c>
      <c r="J280" t="s">
        <v>29</v>
      </c>
      <c r="K280" t="s">
        <v>42</v>
      </c>
      <c r="L280">
        <v>2210</v>
      </c>
      <c r="M280">
        <v>26520</v>
      </c>
      <c r="N280">
        <v>3</v>
      </c>
      <c r="O280" t="str" cm="1">
        <f t="array" ref="O280">_xlfn.IFS(EmpTable[[#This Row],[Job Rate]] &lt;=1,"LOW",N280&lt;=2,"LOW",N280&lt;=3,"MEDIUM",N280&gt;4,"HIGH")</f>
        <v>MEDIUM</v>
      </c>
      <c r="P280">
        <v>0</v>
      </c>
      <c r="Q280">
        <v>0</v>
      </c>
      <c r="R280">
        <v>13</v>
      </c>
    </row>
    <row r="281" spans="1:18" x14ac:dyDescent="0.3">
      <c r="A281">
        <v>280</v>
      </c>
      <c r="B281" t="s">
        <v>453</v>
      </c>
      <c r="C281" t="s">
        <v>454</v>
      </c>
      <c r="D281" t="str">
        <f>_xlfn.CONCAT(EmpTable[[#This Row],[First Name]],EmpTable[[#This Row],[Last Name]])</f>
        <v>DaniahAlhariri</v>
      </c>
      <c r="E281" t="s">
        <v>307</v>
      </c>
      <c r="F281" s="1">
        <v>43753</v>
      </c>
      <c r="G281" s="2">
        <f ca="1">DATEDIF(EmpTable[[#This Row],[Start Date]],TODAY(),"Y")</f>
        <v>6</v>
      </c>
      <c r="H281" s="2" t="str" cm="1">
        <f t="array" aca="1" ref="H281" ca="1">_xlfn.IFS(G281&lt;=1,"Fresh",G281&lt;=3,"Junior",G281&lt;=7,"Teamlead",G281&gt;=7,"manger")</f>
        <v>Teamlead</v>
      </c>
      <c r="I281" t="s">
        <v>17</v>
      </c>
      <c r="J281" t="s">
        <v>18</v>
      </c>
      <c r="K281" t="s">
        <v>36</v>
      </c>
      <c r="L281">
        <v>1788</v>
      </c>
      <c r="M281">
        <v>21456</v>
      </c>
      <c r="N281">
        <v>5</v>
      </c>
      <c r="O281" t="str" cm="1">
        <f t="array" ref="O281">_xlfn.IFS(EmpTable[[#This Row],[Job Rate]] &lt;=1,"LOW",N281&lt;=2,"LOW",N281&lt;=3,"MEDIUM",N281&gt;4,"HIGH")</f>
        <v>HIGH</v>
      </c>
      <c r="P281">
        <v>1</v>
      </c>
      <c r="Q281">
        <v>0</v>
      </c>
      <c r="R281">
        <v>9</v>
      </c>
    </row>
    <row r="282" spans="1:18" x14ac:dyDescent="0.3">
      <c r="A282">
        <v>281</v>
      </c>
      <c r="B282" t="s">
        <v>369</v>
      </c>
      <c r="C282" t="s">
        <v>455</v>
      </c>
      <c r="D282" t="str">
        <f>_xlfn.CONCAT(EmpTable[[#This Row],[First Name]],EmpTable[[#This Row],[Last Name]])</f>
        <v>HasanQuidr</v>
      </c>
      <c r="E282" t="s">
        <v>32</v>
      </c>
      <c r="F282" s="1">
        <v>43951</v>
      </c>
      <c r="G282" s="2">
        <f ca="1">DATEDIF(EmpTable[[#This Row],[Start Date]],TODAY(),"Y")</f>
        <v>5</v>
      </c>
      <c r="H282" s="2" t="str" cm="1">
        <f t="array" aca="1" ref="H282" ca="1">_xlfn.IFS(G282&lt;=1,"Fresh",G282&lt;=3,"Junior",G282&lt;=7,"Teamlead",G282&gt;=7,"manger")</f>
        <v>Teamlead</v>
      </c>
      <c r="I282" t="s">
        <v>17</v>
      </c>
      <c r="J282" t="s">
        <v>18</v>
      </c>
      <c r="K282" t="s">
        <v>36</v>
      </c>
      <c r="L282">
        <v>2488</v>
      </c>
      <c r="M282">
        <v>29856</v>
      </c>
      <c r="N282">
        <v>5</v>
      </c>
      <c r="O282" t="str" cm="1">
        <f t="array" ref="O282">_xlfn.IFS(EmpTable[[#This Row],[Job Rate]] &lt;=1,"LOW",N282&lt;=2,"LOW",N282&lt;=3,"MEDIUM",N282&gt;4,"HIGH")</f>
        <v>HIGH</v>
      </c>
      <c r="P282">
        <v>0</v>
      </c>
      <c r="Q282">
        <v>5</v>
      </c>
      <c r="R282">
        <v>3</v>
      </c>
    </row>
    <row r="283" spans="1:18" x14ac:dyDescent="0.3">
      <c r="A283">
        <v>282</v>
      </c>
      <c r="B283" t="s">
        <v>33</v>
      </c>
      <c r="C283" t="s">
        <v>456</v>
      </c>
      <c r="D283" t="str">
        <f>_xlfn.CONCAT(EmpTable[[#This Row],[First Name]],EmpTable[[#This Row],[Last Name]])</f>
        <v>MuhamadShaykh Janid</v>
      </c>
      <c r="E283" t="s">
        <v>32</v>
      </c>
      <c r="F283" s="1">
        <v>43939</v>
      </c>
      <c r="G283" s="2">
        <f ca="1">DATEDIF(EmpTable[[#This Row],[Start Date]],TODAY(),"Y")</f>
        <v>5</v>
      </c>
      <c r="H283" s="2" t="str" cm="1">
        <f t="array" aca="1" ref="H283" ca="1">_xlfn.IFS(G283&lt;=1,"Fresh",G283&lt;=3,"Junior",G283&lt;=7,"Teamlead",G283&gt;=7,"manger")</f>
        <v>Teamlead</v>
      </c>
      <c r="I283" t="s">
        <v>28</v>
      </c>
      <c r="J283" t="s">
        <v>18</v>
      </c>
      <c r="K283" t="s">
        <v>36</v>
      </c>
      <c r="L283">
        <v>2187</v>
      </c>
      <c r="M283">
        <v>26244</v>
      </c>
      <c r="N283">
        <v>5</v>
      </c>
      <c r="O283" t="str" cm="1">
        <f t="array" ref="O283">_xlfn.IFS(EmpTable[[#This Row],[Job Rate]] &lt;=1,"LOW",N283&lt;=2,"LOW",N283&lt;=3,"MEDIUM",N283&gt;4,"HIGH")</f>
        <v>HIGH</v>
      </c>
      <c r="P283">
        <v>1</v>
      </c>
      <c r="Q283">
        <v>3</v>
      </c>
      <c r="R283">
        <v>2</v>
      </c>
    </row>
    <row r="284" spans="1:18" x14ac:dyDescent="0.3">
      <c r="A284">
        <v>283</v>
      </c>
      <c r="B284" t="s">
        <v>457</v>
      </c>
      <c r="C284" t="s">
        <v>458</v>
      </c>
      <c r="D284" t="str">
        <f>_xlfn.CONCAT(EmpTable[[#This Row],[First Name]],EmpTable[[#This Row],[Last Name]])</f>
        <v>EsamatZaza</v>
      </c>
      <c r="E284" t="s">
        <v>32</v>
      </c>
      <c r="F284" s="1">
        <v>43963</v>
      </c>
      <c r="G284" s="2">
        <f ca="1">DATEDIF(EmpTable[[#This Row],[Start Date]],TODAY(),"Y")</f>
        <v>5</v>
      </c>
      <c r="H284" s="2" t="str" cm="1">
        <f t="array" aca="1" ref="H284" ca="1">_xlfn.IFS(G284&lt;=1,"Fresh",G284&lt;=3,"Junior",G284&lt;=7,"Teamlead",G284&gt;=7,"manger")</f>
        <v>Teamlead</v>
      </c>
      <c r="I284" t="s">
        <v>17</v>
      </c>
      <c r="J284" t="s">
        <v>18</v>
      </c>
      <c r="K284" t="s">
        <v>42</v>
      </c>
      <c r="L284">
        <v>1366</v>
      </c>
      <c r="M284">
        <v>16392</v>
      </c>
      <c r="N284">
        <v>2</v>
      </c>
      <c r="O284" t="str" cm="1">
        <f t="array" ref="O284">_xlfn.IFS(EmpTable[[#This Row],[Job Rate]] &lt;=1,"LOW",N284&lt;=2,"LOW",N284&lt;=3,"MEDIUM",N284&gt;4,"HIGH")</f>
        <v>LOW</v>
      </c>
      <c r="P284">
        <v>0</v>
      </c>
      <c r="Q284">
        <v>0</v>
      </c>
      <c r="R284">
        <v>13</v>
      </c>
    </row>
    <row r="285" spans="1:18" x14ac:dyDescent="0.3">
      <c r="A285">
        <v>284</v>
      </c>
      <c r="B285" t="s">
        <v>197</v>
      </c>
      <c r="C285" t="s">
        <v>459</v>
      </c>
      <c r="D285" t="str">
        <f>_xlfn.CONCAT(EmpTable[[#This Row],[First Name]],EmpTable[[#This Row],[Last Name]])</f>
        <v>FadiHububati</v>
      </c>
      <c r="E285" t="s">
        <v>32</v>
      </c>
      <c r="F285" s="1">
        <v>43591</v>
      </c>
      <c r="G285" s="2">
        <f ca="1">DATEDIF(EmpTable[[#This Row],[Start Date]],TODAY(),"Y")</f>
        <v>6</v>
      </c>
      <c r="H285" s="2" t="str" cm="1">
        <f t="array" aca="1" ref="H285" ca="1">_xlfn.IFS(G285&lt;=1,"Fresh",G285&lt;=3,"Junior",G285&lt;=7,"Teamlead",G285&gt;=7,"manger")</f>
        <v>Teamlead</v>
      </c>
      <c r="I285" t="s">
        <v>77</v>
      </c>
      <c r="J285" t="s">
        <v>18</v>
      </c>
      <c r="K285" t="s">
        <v>19</v>
      </c>
      <c r="L285">
        <v>2612</v>
      </c>
      <c r="M285">
        <v>31344</v>
      </c>
      <c r="N285">
        <v>5</v>
      </c>
      <c r="O285" t="str" cm="1">
        <f t="array" ref="O285">_xlfn.IFS(EmpTable[[#This Row],[Job Rate]] &lt;=1,"LOW",N285&lt;=2,"LOW",N285&lt;=3,"MEDIUM",N285&gt;4,"HIGH")</f>
        <v>HIGH</v>
      </c>
      <c r="P285">
        <v>0</v>
      </c>
      <c r="Q285">
        <v>0</v>
      </c>
      <c r="R285">
        <v>8</v>
      </c>
    </row>
    <row r="286" spans="1:18" x14ac:dyDescent="0.3">
      <c r="A286">
        <v>285</v>
      </c>
      <c r="B286" t="s">
        <v>460</v>
      </c>
      <c r="C286" t="s">
        <v>461</v>
      </c>
      <c r="D286" t="str">
        <f>_xlfn.CONCAT(EmpTable[[#This Row],[First Name]],EmpTable[[#This Row],[Last Name]])</f>
        <v>AdnanAlhusayn</v>
      </c>
      <c r="E286" t="s">
        <v>32</v>
      </c>
      <c r="F286" s="1">
        <v>43199</v>
      </c>
      <c r="G286" s="2">
        <f ca="1">DATEDIF(EmpTable[[#This Row],[Start Date]],TODAY(),"Y")</f>
        <v>7</v>
      </c>
      <c r="H286" s="2" t="str" cm="1">
        <f t="array" aca="1" ref="H286" ca="1">_xlfn.IFS(G286&lt;=1,"Fresh",G286&lt;=3,"Junior",G286&lt;=7,"Teamlead",G286&gt;=7,"manger")</f>
        <v>Teamlead</v>
      </c>
      <c r="I286" t="s">
        <v>41</v>
      </c>
      <c r="J286" t="s">
        <v>29</v>
      </c>
      <c r="K286" t="s">
        <v>42</v>
      </c>
      <c r="L286">
        <v>2246</v>
      </c>
      <c r="M286">
        <v>26952</v>
      </c>
      <c r="N286">
        <v>5</v>
      </c>
      <c r="O286" t="str" cm="1">
        <f t="array" ref="O286">_xlfn.IFS(EmpTable[[#This Row],[Job Rate]] &lt;=1,"LOW",N286&lt;=2,"LOW",N286&lt;=3,"MEDIUM",N286&gt;4,"HIGH")</f>
        <v>HIGH</v>
      </c>
      <c r="P286">
        <v>0</v>
      </c>
      <c r="Q286">
        <v>0</v>
      </c>
      <c r="R286">
        <v>8</v>
      </c>
    </row>
    <row r="287" spans="1:18" x14ac:dyDescent="0.3">
      <c r="A287">
        <v>286</v>
      </c>
      <c r="B287" t="s">
        <v>33</v>
      </c>
      <c r="C287" t="s">
        <v>462</v>
      </c>
      <c r="D287" t="str">
        <f>_xlfn.CONCAT(EmpTable[[#This Row],[First Name]],EmpTable[[#This Row],[Last Name]])</f>
        <v>MuhamadAllibad</v>
      </c>
      <c r="E287" t="s">
        <v>32</v>
      </c>
      <c r="F287" s="1">
        <v>43307</v>
      </c>
      <c r="G287" s="2">
        <f ca="1">DATEDIF(EmpTable[[#This Row],[Start Date]],TODAY(),"Y")</f>
        <v>7</v>
      </c>
      <c r="H287" s="2" t="str" cm="1">
        <f t="array" aca="1" ref="H287" ca="1">_xlfn.IFS(G287&lt;=1,"Fresh",G287&lt;=3,"Junior",G287&lt;=7,"Teamlead",G287&gt;=7,"manger")</f>
        <v>Teamlead</v>
      </c>
      <c r="I287" t="s">
        <v>17</v>
      </c>
      <c r="J287" t="s">
        <v>18</v>
      </c>
      <c r="K287" t="s">
        <v>42</v>
      </c>
      <c r="L287">
        <v>2761</v>
      </c>
      <c r="M287">
        <v>33132</v>
      </c>
      <c r="N287">
        <v>5</v>
      </c>
      <c r="O287" t="str" cm="1">
        <f t="array" ref="O287">_xlfn.IFS(EmpTable[[#This Row],[Job Rate]] &lt;=1,"LOW",N287&lt;=2,"LOW",N287&lt;=3,"MEDIUM",N287&gt;4,"HIGH")</f>
        <v>HIGH</v>
      </c>
      <c r="P287">
        <v>0</v>
      </c>
      <c r="Q287">
        <v>2</v>
      </c>
      <c r="R287">
        <v>5</v>
      </c>
    </row>
    <row r="288" spans="1:18" x14ac:dyDescent="0.3">
      <c r="A288">
        <v>287</v>
      </c>
      <c r="B288" t="s">
        <v>463</v>
      </c>
      <c r="C288" t="s">
        <v>464</v>
      </c>
      <c r="D288" t="str">
        <f>_xlfn.CONCAT(EmpTable[[#This Row],[First Name]],EmpTable[[#This Row],[Last Name]])</f>
        <v>TanaDahruj</v>
      </c>
      <c r="E288" t="s">
        <v>307</v>
      </c>
      <c r="F288" s="1">
        <v>43800</v>
      </c>
      <c r="G288" s="2">
        <f ca="1">DATEDIF(EmpTable[[#This Row],[Start Date]],TODAY(),"Y")</f>
        <v>6</v>
      </c>
      <c r="H288" s="2" t="str" cm="1">
        <f t="array" aca="1" ref="H288" ca="1">_xlfn.IFS(G288&lt;=1,"Fresh",G288&lt;=3,"Junior",G288&lt;=7,"Teamlead",G288&gt;=7,"manger")</f>
        <v>Teamlead</v>
      </c>
      <c r="I288" t="s">
        <v>118</v>
      </c>
      <c r="J288" t="s">
        <v>18</v>
      </c>
      <c r="K288" t="s">
        <v>42</v>
      </c>
      <c r="L288">
        <v>1536</v>
      </c>
      <c r="M288">
        <v>18432</v>
      </c>
      <c r="N288">
        <v>4.5</v>
      </c>
      <c r="O288" t="str" cm="1">
        <f t="array" ref="O288">_xlfn.IFS(EmpTable[[#This Row],[Job Rate]] &lt;=1,"LOW",N288&lt;=2,"LOW",N288&lt;=3,"MEDIUM",N288&gt;4,"HIGH")</f>
        <v>HIGH</v>
      </c>
      <c r="P288">
        <v>0</v>
      </c>
      <c r="Q288">
        <v>0</v>
      </c>
      <c r="R288">
        <v>76</v>
      </c>
    </row>
    <row r="289" spans="1:18" x14ac:dyDescent="0.3">
      <c r="A289">
        <v>288</v>
      </c>
      <c r="B289" t="s">
        <v>33</v>
      </c>
      <c r="C289" t="s">
        <v>465</v>
      </c>
      <c r="D289" t="str">
        <f>_xlfn.CONCAT(EmpTable[[#This Row],[First Name]],EmpTable[[#This Row],[Last Name]])</f>
        <v>MuhamadAlmtlq</v>
      </c>
      <c r="E289" t="s">
        <v>32</v>
      </c>
      <c r="F289" s="1">
        <v>42684</v>
      </c>
      <c r="G289" s="2">
        <f ca="1">DATEDIF(EmpTable[[#This Row],[Start Date]],TODAY(),"Y")</f>
        <v>9</v>
      </c>
      <c r="H289" s="2" t="str" cm="1">
        <f t="array" aca="1" ref="H289" ca="1">_xlfn.IFS(G289&lt;=1,"Fresh",G289&lt;=3,"Junior",G289&lt;=7,"Teamlead",G289&gt;=7,"manger")</f>
        <v>manger</v>
      </c>
      <c r="I289" t="s">
        <v>88</v>
      </c>
      <c r="J289" t="s">
        <v>22</v>
      </c>
      <c r="K289" t="s">
        <v>60</v>
      </c>
      <c r="L289">
        <v>2180</v>
      </c>
      <c r="M289">
        <v>26160</v>
      </c>
      <c r="N289">
        <v>4.5</v>
      </c>
      <c r="O289" t="str" cm="1">
        <f t="array" ref="O289">_xlfn.IFS(EmpTable[[#This Row],[Job Rate]] &lt;=1,"LOW",N289&lt;=2,"LOW",N289&lt;=3,"MEDIUM",N289&gt;4,"HIGH")</f>
        <v>HIGH</v>
      </c>
      <c r="P289">
        <v>0</v>
      </c>
      <c r="Q289">
        <v>0</v>
      </c>
      <c r="R289">
        <v>80</v>
      </c>
    </row>
    <row r="290" spans="1:18" x14ac:dyDescent="0.3">
      <c r="A290">
        <v>289</v>
      </c>
      <c r="B290" t="s">
        <v>466</v>
      </c>
      <c r="C290" t="s">
        <v>461</v>
      </c>
      <c r="D290" t="str">
        <f>_xlfn.CONCAT(EmpTable[[#This Row],[First Name]],EmpTable[[#This Row],[Last Name]])</f>
        <v>SanaAlhusayn</v>
      </c>
      <c r="E290" t="s">
        <v>307</v>
      </c>
      <c r="F290" s="1">
        <v>43822</v>
      </c>
      <c r="G290" s="2">
        <f ca="1">DATEDIF(EmpTable[[#This Row],[Start Date]],TODAY(),"Y")</f>
        <v>6</v>
      </c>
      <c r="H290" s="2" t="str" cm="1">
        <f t="array" aca="1" ref="H290" ca="1">_xlfn.IFS(G290&lt;=1,"Fresh",G290&lt;=3,"Junior",G290&lt;=7,"Teamlead",G290&gt;=7,"manger")</f>
        <v>Teamlead</v>
      </c>
      <c r="I290" t="s">
        <v>41</v>
      </c>
      <c r="J290" t="s">
        <v>18</v>
      </c>
      <c r="K290" t="s">
        <v>42</v>
      </c>
      <c r="L290">
        <v>3412</v>
      </c>
      <c r="M290">
        <v>40944</v>
      </c>
      <c r="N290">
        <v>5</v>
      </c>
      <c r="O290" t="str" cm="1">
        <f t="array" ref="O290">_xlfn.IFS(EmpTable[[#This Row],[Job Rate]] &lt;=1,"LOW",N290&lt;=2,"LOW",N290&lt;=3,"MEDIUM",N290&gt;4,"HIGH")</f>
        <v>HIGH</v>
      </c>
      <c r="P290">
        <v>2</v>
      </c>
      <c r="Q290">
        <v>0</v>
      </c>
      <c r="R290">
        <v>3</v>
      </c>
    </row>
    <row r="291" spans="1:18" x14ac:dyDescent="0.3">
      <c r="A291">
        <v>290</v>
      </c>
      <c r="B291" t="s">
        <v>33</v>
      </c>
      <c r="C291" t="s">
        <v>467</v>
      </c>
      <c r="D291" t="str">
        <f>_xlfn.CONCAT(EmpTable[[#This Row],[First Name]],EmpTable[[#This Row],[Last Name]])</f>
        <v>MuhamadBdraldyn</v>
      </c>
      <c r="E291" t="s">
        <v>32</v>
      </c>
      <c r="F291" s="1">
        <v>43250</v>
      </c>
      <c r="G291" s="2">
        <f ca="1">DATEDIF(EmpTable[[#This Row],[Start Date]],TODAY(),"Y")</f>
        <v>7</v>
      </c>
      <c r="H291" s="2" t="str" cm="1">
        <f t="array" aca="1" ref="H291" ca="1">_xlfn.IFS(G291&lt;=1,"Fresh",G291&lt;=3,"Junior",G291&lt;=7,"Teamlead",G291&gt;=7,"manger")</f>
        <v>Teamlead</v>
      </c>
      <c r="I291" t="s">
        <v>53</v>
      </c>
      <c r="J291" t="s">
        <v>18</v>
      </c>
      <c r="K291" t="s">
        <v>42</v>
      </c>
      <c r="L291">
        <v>2546</v>
      </c>
      <c r="M291">
        <v>30552</v>
      </c>
      <c r="N291">
        <v>4.5</v>
      </c>
      <c r="O291" t="str" cm="1">
        <f t="array" ref="O291">_xlfn.IFS(EmpTable[[#This Row],[Job Rate]] &lt;=1,"LOW",N291&lt;=2,"LOW",N291&lt;=3,"MEDIUM",N291&gt;4,"HIGH")</f>
        <v>HIGH</v>
      </c>
      <c r="P291">
        <v>0</v>
      </c>
      <c r="Q291">
        <v>0</v>
      </c>
      <c r="R291">
        <v>6</v>
      </c>
    </row>
    <row r="292" spans="1:18" x14ac:dyDescent="0.3">
      <c r="A292">
        <v>291</v>
      </c>
      <c r="B292" t="s">
        <v>33</v>
      </c>
      <c r="C292" t="s">
        <v>468</v>
      </c>
      <c r="D292" t="str">
        <f>_xlfn.CONCAT(EmpTable[[#This Row],[First Name]],EmpTable[[#This Row],[Last Name]])</f>
        <v>MuhamadEataya</v>
      </c>
      <c r="E292" t="s">
        <v>32</v>
      </c>
      <c r="F292" s="1">
        <v>43096</v>
      </c>
      <c r="G292" s="2">
        <f ca="1">DATEDIF(EmpTable[[#This Row],[Start Date]],TODAY(),"Y")</f>
        <v>8</v>
      </c>
      <c r="H292" s="2" t="str" cm="1">
        <f t="array" aca="1" ref="H292" ca="1">_xlfn.IFS(G292&lt;=1,"Fresh",G292&lt;=3,"Junior",G292&lt;=7,"Teamlead",G292&gt;=7,"manger")</f>
        <v>manger</v>
      </c>
      <c r="I292" t="s">
        <v>144</v>
      </c>
      <c r="J292" t="s">
        <v>18</v>
      </c>
      <c r="K292" t="s">
        <v>36</v>
      </c>
      <c r="L292">
        <v>1856</v>
      </c>
      <c r="M292">
        <v>22272</v>
      </c>
      <c r="N292">
        <v>5</v>
      </c>
      <c r="O292" t="str" cm="1">
        <f t="array" ref="O292">_xlfn.IFS(EmpTable[[#This Row],[Job Rate]] &lt;=1,"LOW",N292&lt;=2,"LOW",N292&lt;=3,"MEDIUM",N292&gt;4,"HIGH")</f>
        <v>HIGH</v>
      </c>
      <c r="P292">
        <v>0</v>
      </c>
      <c r="Q292">
        <v>0</v>
      </c>
      <c r="R292">
        <v>0</v>
      </c>
    </row>
    <row r="293" spans="1:18" x14ac:dyDescent="0.3">
      <c r="A293">
        <v>292</v>
      </c>
      <c r="B293" t="s">
        <v>197</v>
      </c>
      <c r="C293" t="s">
        <v>469</v>
      </c>
      <c r="D293" t="str">
        <f>_xlfn.CONCAT(EmpTable[[#This Row],[First Name]],EmpTable[[#This Row],[Last Name]])</f>
        <v>FadiAljizamati</v>
      </c>
      <c r="E293" t="s">
        <v>32</v>
      </c>
      <c r="F293" s="1">
        <v>43618</v>
      </c>
      <c r="G293" s="2">
        <f ca="1">DATEDIF(EmpTable[[#This Row],[Start Date]],TODAY(),"Y")</f>
        <v>6</v>
      </c>
      <c r="H293" s="2" t="str" cm="1">
        <f t="array" aca="1" ref="H293" ca="1">_xlfn.IFS(G293&lt;=1,"Fresh",G293&lt;=3,"Junior",G293&lt;=7,"Teamlead",G293&gt;=7,"manger")</f>
        <v>Teamlead</v>
      </c>
      <c r="I293" t="s">
        <v>35</v>
      </c>
      <c r="J293" t="s">
        <v>18</v>
      </c>
      <c r="K293" t="s">
        <v>42</v>
      </c>
      <c r="L293">
        <v>3220</v>
      </c>
      <c r="M293">
        <v>38640</v>
      </c>
      <c r="N293">
        <v>5</v>
      </c>
      <c r="O293" t="str" cm="1">
        <f t="array" ref="O293">_xlfn.IFS(EmpTable[[#This Row],[Job Rate]] &lt;=1,"LOW",N293&lt;=2,"LOW",N293&lt;=3,"MEDIUM",N293&gt;4,"HIGH")</f>
        <v>HIGH</v>
      </c>
      <c r="P293">
        <v>6</v>
      </c>
      <c r="Q293">
        <v>0</v>
      </c>
      <c r="R293">
        <v>3</v>
      </c>
    </row>
    <row r="294" spans="1:18" x14ac:dyDescent="0.3">
      <c r="A294">
        <v>293</v>
      </c>
      <c r="B294" t="s">
        <v>59</v>
      </c>
      <c r="C294" t="s">
        <v>470</v>
      </c>
      <c r="D294" t="str">
        <f>_xlfn.CONCAT(EmpTable[[#This Row],[First Name]],EmpTable[[#This Row],[Last Name]])</f>
        <v>AlaaAlqasir</v>
      </c>
      <c r="E294" t="s">
        <v>32</v>
      </c>
      <c r="F294" s="1">
        <v>42473</v>
      </c>
      <c r="G294" s="2">
        <f ca="1">DATEDIF(EmpTable[[#This Row],[Start Date]],TODAY(),"Y")</f>
        <v>9</v>
      </c>
      <c r="H294" s="2" t="str" cm="1">
        <f t="array" aca="1" ref="H294" ca="1">_xlfn.IFS(G294&lt;=1,"Fresh",G294&lt;=3,"Junior",G294&lt;=7,"Teamlead",G294&gt;=7,"manger")</f>
        <v>manger</v>
      </c>
      <c r="I294" t="s">
        <v>28</v>
      </c>
      <c r="J294" t="s">
        <v>22</v>
      </c>
      <c r="K294" t="s">
        <v>42</v>
      </c>
      <c r="L294">
        <v>3061</v>
      </c>
      <c r="M294">
        <v>36732</v>
      </c>
      <c r="N294">
        <v>5</v>
      </c>
      <c r="O294" t="str" cm="1">
        <f t="array" ref="O294">_xlfn.IFS(EmpTable[[#This Row],[Job Rate]] &lt;=1,"LOW",N294&lt;=2,"LOW",N294&lt;=3,"MEDIUM",N294&gt;4,"HIGH")</f>
        <v>HIGH</v>
      </c>
      <c r="P294">
        <v>0</v>
      </c>
      <c r="Q294">
        <v>0</v>
      </c>
      <c r="R294">
        <v>3</v>
      </c>
    </row>
    <row r="295" spans="1:18" x14ac:dyDescent="0.3">
      <c r="A295">
        <v>294</v>
      </c>
      <c r="B295" t="s">
        <v>263</v>
      </c>
      <c r="C295" t="s">
        <v>341</v>
      </c>
      <c r="D295" t="str">
        <f>_xlfn.CONCAT(EmpTable[[#This Row],[First Name]],EmpTable[[#This Row],[Last Name]])</f>
        <v>Abd AlruhminSalih</v>
      </c>
      <c r="E295" t="s">
        <v>32</v>
      </c>
      <c r="F295" s="1">
        <v>42973</v>
      </c>
      <c r="G295" s="2">
        <f ca="1">DATEDIF(EmpTable[[#This Row],[Start Date]],TODAY(),"Y")</f>
        <v>8</v>
      </c>
      <c r="H295" s="2" t="str" cm="1">
        <f t="array" aca="1" ref="H295" ca="1">_xlfn.IFS(G295&lt;=1,"Fresh",G295&lt;=3,"Junior",G295&lt;=7,"Teamlead",G295&gt;=7,"manger")</f>
        <v>manger</v>
      </c>
      <c r="I295" t="s">
        <v>76</v>
      </c>
      <c r="J295" t="s">
        <v>22</v>
      </c>
      <c r="K295" t="s">
        <v>36</v>
      </c>
      <c r="L295">
        <v>2221</v>
      </c>
      <c r="M295">
        <v>26652</v>
      </c>
      <c r="N295">
        <v>2</v>
      </c>
      <c r="O295" t="str" cm="1">
        <f t="array" ref="O295">_xlfn.IFS(EmpTable[[#This Row],[Job Rate]] &lt;=1,"LOW",N295&lt;=2,"LOW",N295&lt;=3,"MEDIUM",N295&gt;4,"HIGH")</f>
        <v>LOW</v>
      </c>
      <c r="P295">
        <v>0</v>
      </c>
      <c r="Q295">
        <v>0</v>
      </c>
      <c r="R295">
        <v>1</v>
      </c>
    </row>
    <row r="296" spans="1:18" x14ac:dyDescent="0.3">
      <c r="A296">
        <v>295</v>
      </c>
      <c r="B296" t="s">
        <v>471</v>
      </c>
      <c r="C296" t="s">
        <v>30</v>
      </c>
      <c r="D296" t="str">
        <f>_xlfn.CONCAT(EmpTable[[#This Row],[First Name]],EmpTable[[#This Row],[Last Name]])</f>
        <v>ShilanAhmad</v>
      </c>
      <c r="E296" t="s">
        <v>307</v>
      </c>
      <c r="F296" s="1">
        <v>42852</v>
      </c>
      <c r="G296" s="2">
        <f ca="1">DATEDIF(EmpTable[[#This Row],[Start Date]],TODAY(),"Y")</f>
        <v>8</v>
      </c>
      <c r="H296" s="2" t="str" cm="1">
        <f t="array" aca="1" ref="H296" ca="1">_xlfn.IFS(G296&lt;=1,"Fresh",G296&lt;=3,"Junior",G296&lt;=7,"Teamlead",G296&gt;=7,"manger")</f>
        <v>manger</v>
      </c>
      <c r="I296" t="s">
        <v>17</v>
      </c>
      <c r="J296" t="s">
        <v>22</v>
      </c>
      <c r="K296" t="s">
        <v>60</v>
      </c>
      <c r="L296">
        <v>1799</v>
      </c>
      <c r="M296">
        <v>21588</v>
      </c>
      <c r="N296">
        <v>4.5</v>
      </c>
      <c r="O296" t="str" cm="1">
        <f t="array" ref="O296">_xlfn.IFS(EmpTable[[#This Row],[Job Rate]] &lt;=1,"LOW",N296&lt;=2,"LOW",N296&lt;=3,"MEDIUM",N296&gt;4,"HIGH")</f>
        <v>HIGH</v>
      </c>
      <c r="P296">
        <v>2</v>
      </c>
      <c r="Q296">
        <v>0</v>
      </c>
      <c r="R296">
        <v>6</v>
      </c>
    </row>
    <row r="297" spans="1:18" x14ac:dyDescent="0.3">
      <c r="A297">
        <v>296</v>
      </c>
      <c r="B297" t="s">
        <v>369</v>
      </c>
      <c r="C297" t="s">
        <v>472</v>
      </c>
      <c r="D297" t="str">
        <f>_xlfn.CONCAT(EmpTable[[#This Row],[First Name]],EmpTable[[#This Row],[Last Name]])</f>
        <v>HasanAljasim</v>
      </c>
      <c r="E297" t="s">
        <v>32</v>
      </c>
      <c r="F297" s="1">
        <v>42879</v>
      </c>
      <c r="G297" s="2">
        <f ca="1">DATEDIF(EmpTable[[#This Row],[Start Date]],TODAY(),"Y")</f>
        <v>8</v>
      </c>
      <c r="H297" s="2" t="str" cm="1">
        <f t="array" aca="1" ref="H297" ca="1">_xlfn.IFS(G297&lt;=1,"Fresh",G297&lt;=3,"Junior",G297&lt;=7,"Teamlead",G297&gt;=7,"manger")</f>
        <v>manger</v>
      </c>
      <c r="I297" t="s">
        <v>41</v>
      </c>
      <c r="J297" t="s">
        <v>18</v>
      </c>
      <c r="K297" t="s">
        <v>60</v>
      </c>
      <c r="L297">
        <v>2082</v>
      </c>
      <c r="M297">
        <v>24984</v>
      </c>
      <c r="N297">
        <v>3</v>
      </c>
      <c r="O297" t="str" cm="1">
        <f t="array" ref="O297">_xlfn.IFS(EmpTable[[#This Row],[Job Rate]] &lt;=1,"LOW",N297&lt;=2,"LOW",N297&lt;=3,"MEDIUM",N297&gt;4,"HIGH")</f>
        <v>MEDIUM</v>
      </c>
      <c r="P297">
        <v>0</v>
      </c>
      <c r="Q297">
        <v>0</v>
      </c>
      <c r="R297">
        <v>1</v>
      </c>
    </row>
    <row r="298" spans="1:18" x14ac:dyDescent="0.3">
      <c r="A298">
        <v>297</v>
      </c>
      <c r="B298" t="s">
        <v>290</v>
      </c>
      <c r="C298" t="s">
        <v>119</v>
      </c>
      <c r="D298" t="str">
        <f>_xlfn.CONCAT(EmpTable[[#This Row],[First Name]],EmpTable[[#This Row],[Last Name]])</f>
        <v>KhalilSalam</v>
      </c>
      <c r="E298" t="s">
        <v>32</v>
      </c>
      <c r="F298" s="1">
        <v>42605</v>
      </c>
      <c r="G298" s="2">
        <f ca="1">DATEDIF(EmpTable[[#This Row],[Start Date]],TODAY(),"Y")</f>
        <v>9</v>
      </c>
      <c r="H298" s="2" t="str" cm="1">
        <f t="array" aca="1" ref="H298" ca="1">_xlfn.IFS(G298&lt;=1,"Fresh",G298&lt;=3,"Junior",G298&lt;=7,"Teamlead",G298&gt;=7,"manger")</f>
        <v>manger</v>
      </c>
      <c r="I298" t="s">
        <v>118</v>
      </c>
      <c r="J298" t="s">
        <v>29</v>
      </c>
      <c r="K298" t="s">
        <v>36</v>
      </c>
      <c r="L298">
        <v>1490</v>
      </c>
      <c r="M298">
        <v>17880</v>
      </c>
      <c r="N298">
        <v>4.5</v>
      </c>
      <c r="O298" t="str" cm="1">
        <f t="array" ref="O298">_xlfn.IFS(EmpTable[[#This Row],[Job Rate]] &lt;=1,"LOW",N298&lt;=2,"LOW",N298&lt;=3,"MEDIUM",N298&gt;4,"HIGH")</f>
        <v>HIGH</v>
      </c>
      <c r="P298">
        <v>0</v>
      </c>
      <c r="Q298">
        <v>2</v>
      </c>
      <c r="R298">
        <v>6</v>
      </c>
    </row>
    <row r="299" spans="1:18" x14ac:dyDescent="0.3">
      <c r="A299">
        <v>298</v>
      </c>
      <c r="B299" t="s">
        <v>300</v>
      </c>
      <c r="C299" t="s">
        <v>473</v>
      </c>
      <c r="D299" t="str">
        <f>_xlfn.CONCAT(EmpTable[[#This Row],[First Name]],EmpTable[[#This Row],[Last Name]])</f>
        <v>MajdAbuhamd</v>
      </c>
      <c r="E299" t="s">
        <v>307</v>
      </c>
      <c r="F299" s="1">
        <v>43905</v>
      </c>
      <c r="G299" s="2">
        <f ca="1">DATEDIF(EmpTable[[#This Row],[Start Date]],TODAY(),"Y")</f>
        <v>6</v>
      </c>
      <c r="H299" s="2" t="str" cm="1">
        <f t="array" aca="1" ref="H299" ca="1">_xlfn.IFS(G299&lt;=1,"Fresh",G299&lt;=3,"Junior",G299&lt;=7,"Teamlead",G299&gt;=7,"manger")</f>
        <v>Teamlead</v>
      </c>
      <c r="I299" t="s">
        <v>41</v>
      </c>
      <c r="J299" t="s">
        <v>29</v>
      </c>
      <c r="K299" t="s">
        <v>36</v>
      </c>
      <c r="L299">
        <v>2042</v>
      </c>
      <c r="M299">
        <v>24504</v>
      </c>
      <c r="N299">
        <v>4.5</v>
      </c>
      <c r="O299" t="str" cm="1">
        <f t="array" ref="O299">_xlfn.IFS(EmpTable[[#This Row],[Job Rate]] &lt;=1,"LOW",N299&lt;=2,"LOW",N299&lt;=3,"MEDIUM",N299&gt;4,"HIGH")</f>
        <v>HIGH</v>
      </c>
      <c r="P299">
        <v>0</v>
      </c>
      <c r="Q299">
        <v>0</v>
      </c>
      <c r="R299">
        <v>10</v>
      </c>
    </row>
    <row r="300" spans="1:18" x14ac:dyDescent="0.3">
      <c r="A300">
        <v>299</v>
      </c>
      <c r="B300" t="s">
        <v>116</v>
      </c>
      <c r="C300" t="s">
        <v>474</v>
      </c>
      <c r="D300" t="str">
        <f>_xlfn.CONCAT(EmpTable[[#This Row],[First Name]],EmpTable[[#This Row],[Last Name]])</f>
        <v>SamiQareush</v>
      </c>
      <c r="E300" t="s">
        <v>32</v>
      </c>
      <c r="F300" s="1">
        <v>42492</v>
      </c>
      <c r="G300" s="2">
        <f ca="1">DATEDIF(EmpTable[[#This Row],[Start Date]],TODAY(),"Y")</f>
        <v>9</v>
      </c>
      <c r="H300" s="2" t="str" cm="1">
        <f t="array" aca="1" ref="H300" ca="1">_xlfn.IFS(G300&lt;=1,"Fresh",G300&lt;=3,"Junior",G300&lt;=7,"Teamlead",G300&gt;=7,"manger")</f>
        <v>manger</v>
      </c>
      <c r="I300" t="s">
        <v>58</v>
      </c>
      <c r="J300" t="s">
        <v>48</v>
      </c>
      <c r="K300" t="s">
        <v>42</v>
      </c>
      <c r="L300">
        <v>985</v>
      </c>
      <c r="M300">
        <v>11820</v>
      </c>
      <c r="N300">
        <v>5</v>
      </c>
      <c r="O300" t="str" cm="1">
        <f t="array" ref="O300">_xlfn.IFS(EmpTable[[#This Row],[Job Rate]] &lt;=1,"LOW",N300&lt;=2,"LOW",N300&lt;=3,"MEDIUM",N300&gt;4,"HIGH")</f>
        <v>HIGH</v>
      </c>
      <c r="P300">
        <v>1</v>
      </c>
      <c r="Q300">
        <v>0</v>
      </c>
      <c r="R300">
        <v>5</v>
      </c>
    </row>
    <row r="301" spans="1:18" x14ac:dyDescent="0.3">
      <c r="A301">
        <v>300</v>
      </c>
      <c r="B301" t="s">
        <v>99</v>
      </c>
      <c r="C301" t="s">
        <v>475</v>
      </c>
      <c r="D301" t="str">
        <f>_xlfn.CONCAT(EmpTable[[#This Row],[First Name]],EmpTable[[#This Row],[Last Name]])</f>
        <v>RimaJaridiun</v>
      </c>
      <c r="E301" t="s">
        <v>307</v>
      </c>
      <c r="F301" s="1">
        <v>42860</v>
      </c>
      <c r="G301" s="2">
        <f ca="1">DATEDIF(EmpTable[[#This Row],[Start Date]],TODAY(),"Y")</f>
        <v>8</v>
      </c>
      <c r="H301" s="2" t="str" cm="1">
        <f t="array" aca="1" ref="H301" ca="1">_xlfn.IFS(G301&lt;=1,"Fresh",G301&lt;=3,"Junior",G301&lt;=7,"Teamlead",G301&gt;=7,"manger")</f>
        <v>manger</v>
      </c>
      <c r="I301" t="s">
        <v>39</v>
      </c>
      <c r="J301" t="s">
        <v>18</v>
      </c>
      <c r="K301" t="s">
        <v>36</v>
      </c>
      <c r="L301">
        <v>1988</v>
      </c>
      <c r="M301">
        <v>23856</v>
      </c>
      <c r="N301">
        <v>3</v>
      </c>
      <c r="O301" t="str" cm="1">
        <f t="array" ref="O301">_xlfn.IFS(EmpTable[[#This Row],[Job Rate]] &lt;=1,"LOW",N301&lt;=2,"LOW",N301&lt;=3,"MEDIUM",N301&gt;4,"HIGH")</f>
        <v>MEDIUM</v>
      </c>
      <c r="P301">
        <v>0</v>
      </c>
      <c r="Q301">
        <v>0</v>
      </c>
      <c r="R301">
        <v>7</v>
      </c>
    </row>
    <row r="302" spans="1:18" x14ac:dyDescent="0.3">
      <c r="A302">
        <v>301</v>
      </c>
      <c r="B302" t="s">
        <v>37</v>
      </c>
      <c r="C302" t="s">
        <v>476</v>
      </c>
      <c r="D302" t="str">
        <f>_xlfn.CONCAT(EmpTable[[#This Row],[First Name]],EmpTable[[#This Row],[Last Name]])</f>
        <v>IinAlhumwi</v>
      </c>
      <c r="E302" t="s">
        <v>307</v>
      </c>
      <c r="F302" s="1">
        <v>43286</v>
      </c>
      <c r="G302" s="2">
        <f ca="1">DATEDIF(EmpTable[[#This Row],[Start Date]],TODAY(),"Y")</f>
        <v>7</v>
      </c>
      <c r="H302" s="2" t="str" cm="1">
        <f t="array" aca="1" ref="H302" ca="1">_xlfn.IFS(G302&lt;=1,"Fresh",G302&lt;=3,"Junior",G302&lt;=7,"Teamlead",G302&gt;=7,"manger")</f>
        <v>Teamlead</v>
      </c>
      <c r="I302" t="s">
        <v>41</v>
      </c>
      <c r="J302" t="s">
        <v>22</v>
      </c>
      <c r="K302" t="s">
        <v>60</v>
      </c>
      <c r="L302">
        <v>1545</v>
      </c>
      <c r="M302">
        <v>18540</v>
      </c>
      <c r="N302">
        <v>5</v>
      </c>
      <c r="O302" t="str" cm="1">
        <f t="array" ref="O302">_xlfn.IFS(EmpTable[[#This Row],[Job Rate]] &lt;=1,"LOW",N302&lt;=2,"LOW",N302&lt;=3,"MEDIUM",N302&gt;4,"HIGH")</f>
        <v>HIGH</v>
      </c>
      <c r="P302">
        <v>1</v>
      </c>
      <c r="Q302">
        <v>0</v>
      </c>
      <c r="R302">
        <v>1</v>
      </c>
    </row>
    <row r="303" spans="1:18" x14ac:dyDescent="0.3">
      <c r="A303">
        <v>302</v>
      </c>
      <c r="B303" t="s">
        <v>477</v>
      </c>
      <c r="C303" t="s">
        <v>478</v>
      </c>
      <c r="D303" t="str">
        <f>_xlfn.CONCAT(EmpTable[[#This Row],[First Name]],EmpTable[[#This Row],[Last Name]])</f>
        <v>AkthumEibdalbaqi</v>
      </c>
      <c r="E303" t="s">
        <v>32</v>
      </c>
      <c r="F303" s="1">
        <v>44016</v>
      </c>
      <c r="G303" s="2">
        <f ca="1">DATEDIF(EmpTable[[#This Row],[Start Date]],TODAY(),"Y")</f>
        <v>5</v>
      </c>
      <c r="H303" s="2" t="str" cm="1">
        <f t="array" aca="1" ref="H303" ca="1">_xlfn.IFS(G303&lt;=1,"Fresh",G303&lt;=3,"Junior",G303&lt;=7,"Teamlead",G303&gt;=7,"manger")</f>
        <v>Teamlead</v>
      </c>
      <c r="I303" t="s">
        <v>76</v>
      </c>
      <c r="J303" t="s">
        <v>18</v>
      </c>
      <c r="K303" t="s">
        <v>42</v>
      </c>
      <c r="L303">
        <v>2637</v>
      </c>
      <c r="M303">
        <v>31644</v>
      </c>
      <c r="N303">
        <v>5</v>
      </c>
      <c r="O303" t="str" cm="1">
        <f t="array" ref="O303">_xlfn.IFS(EmpTable[[#This Row],[Job Rate]] &lt;=1,"LOW",N303&lt;=2,"LOW",N303&lt;=3,"MEDIUM",N303&gt;4,"HIGH")</f>
        <v>HIGH</v>
      </c>
      <c r="P303">
        <v>0</v>
      </c>
      <c r="Q303">
        <v>0</v>
      </c>
      <c r="R303">
        <v>50</v>
      </c>
    </row>
    <row r="304" spans="1:18" x14ac:dyDescent="0.3">
      <c r="A304">
        <v>303</v>
      </c>
      <c r="B304" t="s">
        <v>33</v>
      </c>
      <c r="C304" t="s">
        <v>479</v>
      </c>
      <c r="D304" t="str">
        <f>_xlfn.CONCAT(EmpTable[[#This Row],[First Name]],EmpTable[[#This Row],[Last Name]])</f>
        <v>MuhamadAlmurashihi</v>
      </c>
      <c r="E304" t="s">
        <v>32</v>
      </c>
      <c r="F304" s="1">
        <v>43810</v>
      </c>
      <c r="G304" s="2">
        <f ca="1">DATEDIF(EmpTable[[#This Row],[Start Date]],TODAY(),"Y")</f>
        <v>6</v>
      </c>
      <c r="H304" s="2" t="str" cm="1">
        <f t="array" aca="1" ref="H304" ca="1">_xlfn.IFS(G304&lt;=1,"Fresh",G304&lt;=3,"Junior",G304&lt;=7,"Teamlead",G304&gt;=7,"manger")</f>
        <v>Teamlead</v>
      </c>
      <c r="I304" t="s">
        <v>28</v>
      </c>
      <c r="J304" t="s">
        <v>22</v>
      </c>
      <c r="K304" t="s">
        <v>36</v>
      </c>
      <c r="L304">
        <v>1385</v>
      </c>
      <c r="M304">
        <v>16620</v>
      </c>
      <c r="N304">
        <v>4.5</v>
      </c>
      <c r="O304" t="str" cm="1">
        <f t="array" ref="O304">_xlfn.IFS(EmpTable[[#This Row],[Job Rate]] &lt;=1,"LOW",N304&lt;=2,"LOW",N304&lt;=3,"MEDIUM",N304&gt;4,"HIGH")</f>
        <v>HIGH</v>
      </c>
      <c r="P304">
        <v>0</v>
      </c>
      <c r="Q304">
        <v>0</v>
      </c>
      <c r="R304">
        <v>6</v>
      </c>
    </row>
    <row r="305" spans="1:18" x14ac:dyDescent="0.3">
      <c r="A305">
        <v>304</v>
      </c>
      <c r="B305" t="s">
        <v>480</v>
      </c>
      <c r="C305" t="s">
        <v>481</v>
      </c>
      <c r="D305" t="str">
        <f>_xlfn.CONCAT(EmpTable[[#This Row],[First Name]],EmpTable[[#This Row],[Last Name]])</f>
        <v>BatualAbu Fakhar</v>
      </c>
      <c r="E305" t="s">
        <v>307</v>
      </c>
      <c r="F305" s="1">
        <v>43136</v>
      </c>
      <c r="G305" s="2">
        <f ca="1">DATEDIF(EmpTable[[#This Row],[Start Date]],TODAY(),"Y")</f>
        <v>8</v>
      </c>
      <c r="H305" s="2" t="str" cm="1">
        <f t="array" aca="1" ref="H305" ca="1">_xlfn.IFS(G305&lt;=1,"Fresh",G305&lt;=3,"Junior",G305&lt;=7,"Teamlead",G305&gt;=7,"manger")</f>
        <v>manger</v>
      </c>
      <c r="I305" t="s">
        <v>28</v>
      </c>
      <c r="J305" t="s">
        <v>29</v>
      </c>
      <c r="K305" t="s">
        <v>60</v>
      </c>
      <c r="L305">
        <v>2468</v>
      </c>
      <c r="M305">
        <v>29616</v>
      </c>
      <c r="N305">
        <v>1</v>
      </c>
      <c r="O305" t="str" cm="1">
        <f t="array" ref="O305">_xlfn.IFS(EmpTable[[#This Row],[Job Rate]] &lt;=1,"LOW",N305&lt;=2,"LOW",N305&lt;=3,"MEDIUM",N305&gt;4,"HIGH")</f>
        <v>LOW</v>
      </c>
      <c r="P305">
        <v>4</v>
      </c>
      <c r="Q305">
        <v>0</v>
      </c>
      <c r="R305">
        <v>3</v>
      </c>
    </row>
    <row r="306" spans="1:18" x14ac:dyDescent="0.3">
      <c r="A306">
        <v>305</v>
      </c>
      <c r="B306" t="s">
        <v>482</v>
      </c>
      <c r="C306" t="s">
        <v>483</v>
      </c>
      <c r="D306" t="str">
        <f>_xlfn.CONCAT(EmpTable[[#This Row],[First Name]],EmpTable[[#This Row],[Last Name]])</f>
        <v>RinahAlkhuriu</v>
      </c>
      <c r="E306" t="s">
        <v>307</v>
      </c>
      <c r="F306" s="1">
        <v>43280</v>
      </c>
      <c r="G306" s="2">
        <f ca="1">DATEDIF(EmpTable[[#This Row],[Start Date]],TODAY(),"Y")</f>
        <v>7</v>
      </c>
      <c r="H306" s="2" t="str" cm="1">
        <f t="array" aca="1" ref="H306" ca="1">_xlfn.IFS(G306&lt;=1,"Fresh",G306&lt;=3,"Junior",G306&lt;=7,"Teamlead",G306&gt;=7,"manger")</f>
        <v>Teamlead</v>
      </c>
      <c r="I306" t="s">
        <v>88</v>
      </c>
      <c r="J306" t="s">
        <v>48</v>
      </c>
      <c r="K306" t="s">
        <v>42</v>
      </c>
      <c r="L306">
        <v>2098</v>
      </c>
      <c r="M306">
        <v>25176</v>
      </c>
      <c r="N306">
        <v>4.5</v>
      </c>
      <c r="O306" t="str" cm="1">
        <f t="array" ref="O306">_xlfn.IFS(EmpTable[[#This Row],[Job Rate]] &lt;=1,"LOW",N306&lt;=2,"LOW",N306&lt;=3,"MEDIUM",N306&gt;4,"HIGH")</f>
        <v>HIGH</v>
      </c>
      <c r="P306">
        <v>0</v>
      </c>
      <c r="Q306">
        <v>0</v>
      </c>
      <c r="R306">
        <v>3</v>
      </c>
    </row>
    <row r="307" spans="1:18" x14ac:dyDescent="0.3">
      <c r="A307">
        <v>306</v>
      </c>
      <c r="B307" t="s">
        <v>33</v>
      </c>
      <c r="C307" t="s">
        <v>484</v>
      </c>
      <c r="D307" t="str">
        <f>_xlfn.CONCAT(EmpTable[[#This Row],[First Name]],EmpTable[[#This Row],[Last Name]])</f>
        <v>MuhamadAlsaqaraq</v>
      </c>
      <c r="E307" t="s">
        <v>32</v>
      </c>
      <c r="F307" s="1">
        <v>43607</v>
      </c>
      <c r="G307" s="2">
        <f ca="1">DATEDIF(EmpTable[[#This Row],[Start Date]],TODAY(),"Y")</f>
        <v>6</v>
      </c>
      <c r="H307" s="2" t="str" cm="1">
        <f t="array" aca="1" ref="H307" ca="1">_xlfn.IFS(G307&lt;=1,"Fresh",G307&lt;=3,"Junior",G307&lt;=7,"Teamlead",G307&gt;=7,"manger")</f>
        <v>Teamlead</v>
      </c>
      <c r="I307" t="s">
        <v>58</v>
      </c>
      <c r="J307" t="s">
        <v>29</v>
      </c>
      <c r="K307" t="s">
        <v>42</v>
      </c>
      <c r="L307">
        <v>2302</v>
      </c>
      <c r="M307">
        <v>27624</v>
      </c>
      <c r="N307">
        <v>3</v>
      </c>
      <c r="O307" t="str" cm="1">
        <f t="array" ref="O307">_xlfn.IFS(EmpTable[[#This Row],[Job Rate]] &lt;=1,"LOW",N307&lt;=2,"LOW",N307&lt;=3,"MEDIUM",N307&gt;4,"HIGH")</f>
        <v>MEDIUM</v>
      </c>
      <c r="P307">
        <v>6</v>
      </c>
      <c r="Q307">
        <v>0</v>
      </c>
      <c r="R307">
        <v>6</v>
      </c>
    </row>
    <row r="308" spans="1:18" x14ac:dyDescent="0.3">
      <c r="A308">
        <v>307</v>
      </c>
      <c r="B308" t="s">
        <v>327</v>
      </c>
      <c r="C308" t="s">
        <v>485</v>
      </c>
      <c r="D308" t="str">
        <f>_xlfn.CONCAT(EmpTable[[#This Row],[First Name]],EmpTable[[#This Row],[Last Name]])</f>
        <v>DieaSharina</v>
      </c>
      <c r="E308" t="s">
        <v>32</v>
      </c>
      <c r="F308" s="1">
        <v>43565</v>
      </c>
      <c r="G308" s="2">
        <f ca="1">DATEDIF(EmpTable[[#This Row],[Start Date]],TODAY(),"Y")</f>
        <v>6</v>
      </c>
      <c r="H308" s="2" t="str" cm="1">
        <f t="array" aca="1" ref="H308" ca="1">_xlfn.IFS(G308&lt;=1,"Fresh",G308&lt;=3,"Junior",G308&lt;=7,"Teamlead",G308&gt;=7,"manger")</f>
        <v>Teamlead</v>
      </c>
      <c r="I308" t="s">
        <v>53</v>
      </c>
      <c r="J308" t="s">
        <v>18</v>
      </c>
      <c r="K308" t="s">
        <v>42</v>
      </c>
      <c r="L308">
        <v>1623</v>
      </c>
      <c r="M308">
        <v>19476</v>
      </c>
      <c r="N308">
        <v>1</v>
      </c>
      <c r="O308" t="str" cm="1">
        <f t="array" ref="O308">_xlfn.IFS(EmpTable[[#This Row],[Job Rate]] &lt;=1,"LOW",N308&lt;=2,"LOW",N308&lt;=3,"MEDIUM",N308&gt;4,"HIGH")</f>
        <v>LOW</v>
      </c>
      <c r="P308">
        <v>6</v>
      </c>
      <c r="Q308">
        <v>0</v>
      </c>
      <c r="R308">
        <v>4</v>
      </c>
    </row>
    <row r="309" spans="1:18" x14ac:dyDescent="0.3">
      <c r="A309">
        <v>308</v>
      </c>
      <c r="B309" t="s">
        <v>486</v>
      </c>
      <c r="C309" t="s">
        <v>487</v>
      </c>
      <c r="D309" t="str">
        <f>_xlfn.CONCAT(EmpTable[[#This Row],[First Name]],EmpTable[[#This Row],[Last Name]])</f>
        <v>JablahAlsulayman</v>
      </c>
      <c r="E309" t="s">
        <v>307</v>
      </c>
      <c r="F309" s="1">
        <v>43537</v>
      </c>
      <c r="G309" s="2">
        <f ca="1">DATEDIF(EmpTable[[#This Row],[Start Date]],TODAY(),"Y")</f>
        <v>7</v>
      </c>
      <c r="H309" s="2" t="str" cm="1">
        <f t="array" aca="1" ref="H309" ca="1">_xlfn.IFS(G309&lt;=1,"Fresh",G309&lt;=3,"Junior",G309&lt;=7,"Teamlead",G309&gt;=7,"manger")</f>
        <v>Teamlead</v>
      </c>
      <c r="I309" t="s">
        <v>77</v>
      </c>
      <c r="J309" t="s">
        <v>294</v>
      </c>
      <c r="K309" t="s">
        <v>42</v>
      </c>
      <c r="L309">
        <v>1333</v>
      </c>
      <c r="M309">
        <v>15996</v>
      </c>
      <c r="N309">
        <v>3</v>
      </c>
      <c r="O309" t="str" cm="1">
        <f t="array" ref="O309">_xlfn.IFS(EmpTable[[#This Row],[Job Rate]] &lt;=1,"LOW",N309&lt;=2,"LOW",N309&lt;=3,"MEDIUM",N309&gt;4,"HIGH")</f>
        <v>MEDIUM</v>
      </c>
      <c r="P309">
        <v>1</v>
      </c>
      <c r="Q309">
        <v>6</v>
      </c>
      <c r="R309">
        <v>10</v>
      </c>
    </row>
    <row r="310" spans="1:18" x14ac:dyDescent="0.3">
      <c r="A310">
        <v>309</v>
      </c>
      <c r="B310" t="s">
        <v>33</v>
      </c>
      <c r="C310" t="s">
        <v>488</v>
      </c>
      <c r="D310" t="str">
        <f>_xlfn.CONCAT(EmpTable[[#This Row],[First Name]],EmpTable[[#This Row],[Last Name]])</f>
        <v>MuhamadAlmaghribiu</v>
      </c>
      <c r="E310" t="s">
        <v>32</v>
      </c>
      <c r="F310" s="1">
        <v>42692</v>
      </c>
      <c r="G310" s="2">
        <f ca="1">DATEDIF(EmpTable[[#This Row],[Start Date]],TODAY(),"Y")</f>
        <v>9</v>
      </c>
      <c r="H310" s="2" t="str" cm="1">
        <f t="array" aca="1" ref="H310" ca="1">_xlfn.IFS(G310&lt;=1,"Fresh",G310&lt;=3,"Junior",G310&lt;=7,"Teamlead",G310&gt;=7,"manger")</f>
        <v>manger</v>
      </c>
      <c r="I310" t="s">
        <v>17</v>
      </c>
      <c r="J310" t="s">
        <v>29</v>
      </c>
      <c r="K310" t="s">
        <v>42</v>
      </c>
      <c r="L310">
        <v>1431</v>
      </c>
      <c r="M310">
        <v>17172</v>
      </c>
      <c r="N310">
        <v>5</v>
      </c>
      <c r="O310" t="str" cm="1">
        <f t="array" ref="O310">_xlfn.IFS(EmpTable[[#This Row],[Job Rate]] &lt;=1,"LOW",N310&lt;=2,"LOW",N310&lt;=3,"MEDIUM",N310&gt;4,"HIGH")</f>
        <v>HIGH</v>
      </c>
      <c r="P310">
        <v>0</v>
      </c>
      <c r="Q310">
        <v>0</v>
      </c>
      <c r="R310">
        <v>4</v>
      </c>
    </row>
    <row r="311" spans="1:18" x14ac:dyDescent="0.3">
      <c r="A311">
        <v>310</v>
      </c>
      <c r="B311" t="s">
        <v>489</v>
      </c>
      <c r="C311" t="s">
        <v>490</v>
      </c>
      <c r="D311" t="str">
        <f>_xlfn.CONCAT(EmpTable[[#This Row],[First Name]],EmpTable[[#This Row],[Last Name]])</f>
        <v>KholoudKhayti</v>
      </c>
      <c r="E311" t="s">
        <v>307</v>
      </c>
      <c r="F311" s="1">
        <v>43823</v>
      </c>
      <c r="G311" s="2">
        <f ca="1">DATEDIF(EmpTable[[#This Row],[Start Date]],TODAY(),"Y")</f>
        <v>6</v>
      </c>
      <c r="H311" s="2" t="str" cm="1">
        <f t="array" aca="1" ref="H311" ca="1">_xlfn.IFS(G311&lt;=1,"Fresh",G311&lt;=3,"Junior",G311&lt;=7,"Teamlead",G311&gt;=7,"manger")</f>
        <v>Teamlead</v>
      </c>
      <c r="I311" t="s">
        <v>28</v>
      </c>
      <c r="J311" t="s">
        <v>18</v>
      </c>
      <c r="K311" t="s">
        <v>19</v>
      </c>
      <c r="L311">
        <v>2527</v>
      </c>
      <c r="M311">
        <v>30324</v>
      </c>
      <c r="N311">
        <v>3</v>
      </c>
      <c r="O311" t="str" cm="1">
        <f t="array" ref="O311">_xlfn.IFS(EmpTable[[#This Row],[Job Rate]] &lt;=1,"LOW",N311&lt;=2,"LOW",N311&lt;=3,"MEDIUM",N311&gt;4,"HIGH")</f>
        <v>MEDIUM</v>
      </c>
      <c r="P311">
        <v>0</v>
      </c>
      <c r="Q311">
        <v>0</v>
      </c>
      <c r="R311">
        <v>98</v>
      </c>
    </row>
    <row r="312" spans="1:18" x14ac:dyDescent="0.3">
      <c r="A312">
        <v>311</v>
      </c>
      <c r="B312" t="s">
        <v>310</v>
      </c>
      <c r="C312" t="s">
        <v>491</v>
      </c>
      <c r="D312" t="str">
        <f>_xlfn.CONCAT(EmpTable[[#This Row],[First Name]],EmpTable[[#This Row],[Last Name]])</f>
        <v>RahafJamul</v>
      </c>
      <c r="E312" t="s">
        <v>307</v>
      </c>
      <c r="F312" s="1">
        <v>42772</v>
      </c>
      <c r="G312" s="2">
        <f ca="1">DATEDIF(EmpTable[[#This Row],[Start Date]],TODAY(),"Y")</f>
        <v>9</v>
      </c>
      <c r="H312" s="2" t="str" cm="1">
        <f t="array" aca="1" ref="H312" ca="1">_xlfn.IFS(G312&lt;=1,"Fresh",G312&lt;=3,"Junior",G312&lt;=7,"Teamlead",G312&gt;=7,"manger")</f>
        <v>manger</v>
      </c>
      <c r="I312" t="s">
        <v>28</v>
      </c>
      <c r="J312" t="s">
        <v>18</v>
      </c>
      <c r="K312" t="s">
        <v>60</v>
      </c>
      <c r="L312">
        <v>2631</v>
      </c>
      <c r="M312">
        <v>31572</v>
      </c>
      <c r="N312">
        <v>3</v>
      </c>
      <c r="O312" t="str" cm="1">
        <f t="array" ref="O312">_xlfn.IFS(EmpTable[[#This Row],[Job Rate]] &lt;=1,"LOW",N312&lt;=2,"LOW",N312&lt;=3,"MEDIUM",N312&gt;4,"HIGH")</f>
        <v>MEDIUM</v>
      </c>
      <c r="P312">
        <v>0</v>
      </c>
      <c r="Q312">
        <v>0</v>
      </c>
      <c r="R312">
        <v>7</v>
      </c>
    </row>
    <row r="313" spans="1:18" x14ac:dyDescent="0.3">
      <c r="A313">
        <v>312</v>
      </c>
      <c r="B313" t="s">
        <v>127</v>
      </c>
      <c r="C313" t="s">
        <v>492</v>
      </c>
      <c r="D313" t="str">
        <f>_xlfn.CONCAT(EmpTable[[#This Row],[First Name]],EmpTable[[#This Row],[Last Name]])</f>
        <v>FarasAlrahil</v>
      </c>
      <c r="E313" t="s">
        <v>32</v>
      </c>
      <c r="F313" s="1">
        <v>43171</v>
      </c>
      <c r="G313" s="2">
        <f ca="1">DATEDIF(EmpTable[[#This Row],[Start Date]],TODAY(),"Y")</f>
        <v>8</v>
      </c>
      <c r="H313" s="2" t="str" cm="1">
        <f t="array" aca="1" ref="H313" ca="1">_xlfn.IFS(G313&lt;=1,"Fresh",G313&lt;=3,"Junior",G313&lt;=7,"Teamlead",G313&gt;=7,"manger")</f>
        <v>manger</v>
      </c>
      <c r="I313" t="s">
        <v>58</v>
      </c>
      <c r="J313" t="s">
        <v>18</v>
      </c>
      <c r="K313" t="s">
        <v>19</v>
      </c>
      <c r="L313">
        <v>1600</v>
      </c>
      <c r="M313">
        <v>19200</v>
      </c>
      <c r="N313">
        <v>4.5</v>
      </c>
      <c r="O313" t="str" cm="1">
        <f t="array" ref="O313">_xlfn.IFS(EmpTable[[#This Row],[Job Rate]] &lt;=1,"LOW",N313&lt;=2,"LOW",N313&lt;=3,"MEDIUM",N313&gt;4,"HIGH")</f>
        <v>HIGH</v>
      </c>
      <c r="P313">
        <v>0</v>
      </c>
      <c r="Q313">
        <v>0</v>
      </c>
      <c r="R313">
        <v>0</v>
      </c>
    </row>
    <row r="314" spans="1:18" x14ac:dyDescent="0.3">
      <c r="A314">
        <v>313</v>
      </c>
      <c r="B314" t="s">
        <v>493</v>
      </c>
      <c r="C314" t="s">
        <v>494</v>
      </c>
      <c r="D314" t="str">
        <f>_xlfn.CONCAT(EmpTable[[#This Row],[First Name]],EmpTable[[#This Row],[Last Name]])</f>
        <v>Abd AlrazzaqGharah</v>
      </c>
      <c r="E314" t="s">
        <v>32</v>
      </c>
      <c r="F314" s="1">
        <v>44181</v>
      </c>
      <c r="G314" s="2">
        <f ca="1">DATEDIF(EmpTable[[#This Row],[Start Date]],TODAY(),"Y")</f>
        <v>5</v>
      </c>
      <c r="H314" s="2" t="str" cm="1">
        <f t="array" aca="1" ref="H314" ca="1">_xlfn.IFS(G314&lt;=1,"Fresh",G314&lt;=3,"Junior",G314&lt;=7,"Teamlead",G314&gt;=7,"manger")</f>
        <v>Teamlead</v>
      </c>
      <c r="I314" t="s">
        <v>93</v>
      </c>
      <c r="J314" t="s">
        <v>18</v>
      </c>
      <c r="K314" t="s">
        <v>42</v>
      </c>
      <c r="L314">
        <v>2752</v>
      </c>
      <c r="M314">
        <v>33024</v>
      </c>
      <c r="N314">
        <v>5</v>
      </c>
      <c r="O314" t="str" cm="1">
        <f t="array" ref="O314">_xlfn.IFS(EmpTable[[#This Row],[Job Rate]] &lt;=1,"LOW",N314&lt;=2,"LOW",N314&lt;=3,"MEDIUM",N314&gt;4,"HIGH")</f>
        <v>HIGH</v>
      </c>
      <c r="P314">
        <v>0</v>
      </c>
      <c r="Q314">
        <v>0</v>
      </c>
      <c r="R314">
        <v>4</v>
      </c>
    </row>
    <row r="315" spans="1:18" x14ac:dyDescent="0.3">
      <c r="A315">
        <v>314</v>
      </c>
      <c r="B315" t="s">
        <v>59</v>
      </c>
      <c r="C315" t="s">
        <v>344</v>
      </c>
      <c r="D315" t="str">
        <f>_xlfn.CONCAT(EmpTable[[#This Row],[First Name]],EmpTable[[#This Row],[Last Name]])</f>
        <v>AlaaSaed</v>
      </c>
      <c r="E315" t="s">
        <v>307</v>
      </c>
      <c r="F315" s="1">
        <v>43998</v>
      </c>
      <c r="G315" s="2">
        <f ca="1">DATEDIF(EmpTable[[#This Row],[Start Date]],TODAY(),"Y")</f>
        <v>5</v>
      </c>
      <c r="H315" s="2" t="str" cm="1">
        <f t="array" aca="1" ref="H315" ca="1">_xlfn.IFS(G315&lt;=1,"Fresh",G315&lt;=3,"Junior",G315&lt;=7,"Teamlead",G315&gt;=7,"manger")</f>
        <v>Teamlead</v>
      </c>
      <c r="I315" t="s">
        <v>17</v>
      </c>
      <c r="J315" t="s">
        <v>18</v>
      </c>
      <c r="K315" t="s">
        <v>42</v>
      </c>
      <c r="L315">
        <v>3125</v>
      </c>
      <c r="M315">
        <v>37500</v>
      </c>
      <c r="N315">
        <v>5</v>
      </c>
      <c r="O315" t="str" cm="1">
        <f t="array" ref="O315">_xlfn.IFS(EmpTable[[#This Row],[Job Rate]] &lt;=1,"LOW",N315&lt;=2,"LOW",N315&lt;=3,"MEDIUM",N315&gt;4,"HIGH")</f>
        <v>HIGH</v>
      </c>
      <c r="P315">
        <v>0</v>
      </c>
      <c r="Q315">
        <v>0</v>
      </c>
      <c r="R315">
        <v>5</v>
      </c>
    </row>
    <row r="316" spans="1:18" x14ac:dyDescent="0.3">
      <c r="A316">
        <v>315</v>
      </c>
      <c r="B316" t="s">
        <v>495</v>
      </c>
      <c r="C316" t="s">
        <v>496</v>
      </c>
      <c r="D316" t="str">
        <f>_xlfn.CONCAT(EmpTable[[#This Row],[First Name]],EmpTable[[#This Row],[Last Name]])</f>
        <v>LylasShiah</v>
      </c>
      <c r="E316" t="s">
        <v>307</v>
      </c>
      <c r="F316" s="1">
        <v>43648</v>
      </c>
      <c r="G316" s="2">
        <f ca="1">DATEDIF(EmpTable[[#This Row],[Start Date]],TODAY(),"Y")</f>
        <v>6</v>
      </c>
      <c r="H316" s="2" t="str" cm="1">
        <f t="array" aca="1" ref="H316" ca="1">_xlfn.IFS(G316&lt;=1,"Fresh",G316&lt;=3,"Junior",G316&lt;=7,"Teamlead",G316&gt;=7,"manger")</f>
        <v>Teamlead</v>
      </c>
      <c r="I316" t="s">
        <v>50</v>
      </c>
      <c r="J316" t="s">
        <v>22</v>
      </c>
      <c r="K316" t="s">
        <v>19</v>
      </c>
      <c r="L316">
        <v>2091</v>
      </c>
      <c r="M316">
        <v>25092</v>
      </c>
      <c r="N316">
        <v>2</v>
      </c>
      <c r="O316" t="str" cm="1">
        <f t="array" ref="O316">_xlfn.IFS(EmpTable[[#This Row],[Job Rate]] &lt;=1,"LOW",N316&lt;=2,"LOW",N316&lt;=3,"MEDIUM",N316&gt;4,"HIGH")</f>
        <v>LOW</v>
      </c>
      <c r="P316">
        <v>0</v>
      </c>
      <c r="Q316">
        <v>1</v>
      </c>
      <c r="R316">
        <v>9</v>
      </c>
    </row>
    <row r="317" spans="1:18" x14ac:dyDescent="0.3">
      <c r="A317">
        <v>316</v>
      </c>
      <c r="B317" t="s">
        <v>497</v>
      </c>
      <c r="C317" t="s">
        <v>498</v>
      </c>
      <c r="D317" t="str">
        <f>_xlfn.CONCAT(EmpTable[[#This Row],[First Name]],EmpTable[[#This Row],[Last Name]])</f>
        <v>KindaAlaqre</v>
      </c>
      <c r="E317" t="s">
        <v>307</v>
      </c>
      <c r="F317" s="1">
        <v>42726</v>
      </c>
      <c r="G317" s="2">
        <f ca="1">DATEDIF(EmpTable[[#This Row],[Start Date]],TODAY(),"Y")</f>
        <v>9</v>
      </c>
      <c r="H317" s="2" t="str" cm="1">
        <f t="array" aca="1" ref="H317" ca="1">_xlfn.IFS(G317&lt;=1,"Fresh",G317&lt;=3,"Junior",G317&lt;=7,"Teamlead",G317&gt;=7,"manger")</f>
        <v>manger</v>
      </c>
      <c r="I317" t="s">
        <v>58</v>
      </c>
      <c r="J317" t="s">
        <v>29</v>
      </c>
      <c r="K317" t="s">
        <v>42</v>
      </c>
      <c r="L317">
        <v>1009</v>
      </c>
      <c r="M317">
        <v>12108</v>
      </c>
      <c r="N317">
        <v>4.5</v>
      </c>
      <c r="O317" t="str" cm="1">
        <f t="array" ref="O317">_xlfn.IFS(EmpTable[[#This Row],[Job Rate]] &lt;=1,"LOW",N317&lt;=2,"LOW",N317&lt;=3,"MEDIUM",N317&gt;4,"HIGH")</f>
        <v>HIGH</v>
      </c>
      <c r="P317">
        <v>0</v>
      </c>
      <c r="Q317">
        <v>0</v>
      </c>
      <c r="R317">
        <v>17</v>
      </c>
    </row>
    <row r="318" spans="1:18" x14ac:dyDescent="0.3">
      <c r="A318">
        <v>317</v>
      </c>
      <c r="B318" t="s">
        <v>33</v>
      </c>
      <c r="C318" t="s">
        <v>142</v>
      </c>
      <c r="D318" t="str">
        <f>_xlfn.CONCAT(EmpTable[[#This Row],[First Name]],EmpTable[[#This Row],[Last Name]])</f>
        <v>MuhamadAlmisri</v>
      </c>
      <c r="E318" t="s">
        <v>32</v>
      </c>
      <c r="F318" s="1">
        <v>44115</v>
      </c>
      <c r="G318" s="2">
        <f ca="1">DATEDIF(EmpTable[[#This Row],[Start Date]],TODAY(),"Y")</f>
        <v>5</v>
      </c>
      <c r="H318" s="2" t="str" cm="1">
        <f t="array" aca="1" ref="H318" ca="1">_xlfn.IFS(G318&lt;=1,"Fresh",G318&lt;=3,"Junior",G318&lt;=7,"Teamlead",G318&gt;=7,"manger")</f>
        <v>Teamlead</v>
      </c>
      <c r="I318" t="s">
        <v>17</v>
      </c>
      <c r="J318" t="s">
        <v>22</v>
      </c>
      <c r="K318" t="s">
        <v>42</v>
      </c>
      <c r="L318">
        <v>3443</v>
      </c>
      <c r="M318">
        <v>41316</v>
      </c>
      <c r="N318">
        <v>1</v>
      </c>
      <c r="O318" t="str" cm="1">
        <f t="array" ref="O318">_xlfn.IFS(EmpTable[[#This Row],[Job Rate]] &lt;=1,"LOW",N318&lt;=2,"LOW",N318&lt;=3,"MEDIUM",N318&gt;4,"HIGH")</f>
        <v>LOW</v>
      </c>
      <c r="P318">
        <v>0</v>
      </c>
      <c r="Q318">
        <v>0</v>
      </c>
      <c r="R318">
        <v>1</v>
      </c>
    </row>
    <row r="319" spans="1:18" x14ac:dyDescent="0.3">
      <c r="A319">
        <v>318</v>
      </c>
      <c r="B319" t="s">
        <v>499</v>
      </c>
      <c r="C319" t="s">
        <v>500</v>
      </c>
      <c r="D319" t="str">
        <f>_xlfn.CONCAT(EmpTable[[#This Row],[First Name]],EmpTable[[#This Row],[Last Name]])</f>
        <v>DinanaZaydan</v>
      </c>
      <c r="E319" t="s">
        <v>307</v>
      </c>
      <c r="F319" s="1">
        <v>43182</v>
      </c>
      <c r="G319" s="2">
        <f ca="1">DATEDIF(EmpTable[[#This Row],[Start Date]],TODAY(),"Y")</f>
        <v>8</v>
      </c>
      <c r="H319" s="2" t="str" cm="1">
        <f t="array" aca="1" ref="H319" ca="1">_xlfn.IFS(G319&lt;=1,"Fresh",G319&lt;=3,"Junior",G319&lt;=7,"Teamlead",G319&gt;=7,"manger")</f>
        <v>manger</v>
      </c>
      <c r="I319" t="s">
        <v>28</v>
      </c>
      <c r="J319" t="s">
        <v>48</v>
      </c>
      <c r="K319" t="s">
        <v>19</v>
      </c>
      <c r="L319">
        <v>1582</v>
      </c>
      <c r="M319">
        <v>18984</v>
      </c>
      <c r="N319">
        <v>4.5</v>
      </c>
      <c r="O319" t="str" cm="1">
        <f t="array" ref="O319">_xlfn.IFS(EmpTable[[#This Row],[Job Rate]] &lt;=1,"LOW",N319&lt;=2,"LOW",N319&lt;=3,"MEDIUM",N319&gt;4,"HIGH")</f>
        <v>HIGH</v>
      </c>
      <c r="P319">
        <v>0</v>
      </c>
      <c r="Q319">
        <v>0</v>
      </c>
      <c r="R319">
        <v>5</v>
      </c>
    </row>
    <row r="320" spans="1:18" x14ac:dyDescent="0.3">
      <c r="A320">
        <v>319</v>
      </c>
      <c r="B320" t="s">
        <v>501</v>
      </c>
      <c r="C320" t="s">
        <v>502</v>
      </c>
      <c r="D320" t="str">
        <f>_xlfn.CONCAT(EmpTable[[#This Row],[First Name]],EmpTable[[#This Row],[Last Name]])</f>
        <v>AmyrahMudinih</v>
      </c>
      <c r="E320" t="s">
        <v>307</v>
      </c>
      <c r="F320" s="1">
        <v>43528</v>
      </c>
      <c r="G320" s="2">
        <f ca="1">DATEDIF(EmpTable[[#This Row],[Start Date]],TODAY(),"Y")</f>
        <v>7</v>
      </c>
      <c r="H320" s="2" t="str" cm="1">
        <f t="array" aca="1" ref="H320" ca="1">_xlfn.IFS(G320&lt;=1,"Fresh",G320&lt;=3,"Junior",G320&lt;=7,"Teamlead",G320&gt;=7,"manger")</f>
        <v>Teamlead</v>
      </c>
      <c r="I320" t="s">
        <v>58</v>
      </c>
      <c r="J320" t="s">
        <v>29</v>
      </c>
      <c r="K320" t="s">
        <v>36</v>
      </c>
      <c r="L320">
        <v>2103</v>
      </c>
      <c r="M320">
        <v>25236</v>
      </c>
      <c r="N320">
        <v>5</v>
      </c>
      <c r="O320" t="str" cm="1">
        <f t="array" ref="O320">_xlfn.IFS(EmpTable[[#This Row],[Job Rate]] &lt;=1,"LOW",N320&lt;=2,"LOW",N320&lt;=3,"MEDIUM",N320&gt;4,"HIGH")</f>
        <v>HIGH</v>
      </c>
      <c r="P320">
        <v>1</v>
      </c>
      <c r="Q320">
        <v>1</v>
      </c>
      <c r="R320">
        <v>2</v>
      </c>
    </row>
    <row r="321" spans="1:18" x14ac:dyDescent="0.3">
      <c r="A321">
        <v>320</v>
      </c>
      <c r="B321" t="s">
        <v>503</v>
      </c>
      <c r="C321" t="s">
        <v>504</v>
      </c>
      <c r="D321" t="str">
        <f>_xlfn.CONCAT(EmpTable[[#This Row],[First Name]],EmpTable[[#This Row],[Last Name]])</f>
        <v>SafaAlAhmar</v>
      </c>
      <c r="E321" t="s">
        <v>307</v>
      </c>
      <c r="F321" s="1">
        <v>43106</v>
      </c>
      <c r="G321" s="2">
        <f ca="1">DATEDIF(EmpTable[[#This Row],[Start Date]],TODAY(),"Y")</f>
        <v>8</v>
      </c>
      <c r="H321" s="2" t="str" cm="1">
        <f t="array" aca="1" ref="H321" ca="1">_xlfn.IFS(G321&lt;=1,"Fresh",G321&lt;=3,"Junior",G321&lt;=7,"Teamlead",G321&gt;=7,"manger")</f>
        <v>manger</v>
      </c>
      <c r="I321" t="s">
        <v>93</v>
      </c>
      <c r="J321" t="s">
        <v>18</v>
      </c>
      <c r="K321" t="s">
        <v>42</v>
      </c>
      <c r="L321">
        <v>3108</v>
      </c>
      <c r="M321">
        <v>37296</v>
      </c>
      <c r="N321">
        <v>1</v>
      </c>
      <c r="O321" t="str" cm="1">
        <f t="array" ref="O321">_xlfn.IFS(EmpTable[[#This Row],[Job Rate]] &lt;=1,"LOW",N321&lt;=2,"LOW",N321&lt;=3,"MEDIUM",N321&gt;4,"HIGH")</f>
        <v>LOW</v>
      </c>
      <c r="P321">
        <v>0</v>
      </c>
      <c r="Q321">
        <v>0</v>
      </c>
      <c r="R321">
        <v>45</v>
      </c>
    </row>
    <row r="322" spans="1:18" x14ac:dyDescent="0.3">
      <c r="A322">
        <v>321</v>
      </c>
      <c r="B322" t="s">
        <v>30</v>
      </c>
      <c r="C322" t="s">
        <v>505</v>
      </c>
      <c r="D322" t="str">
        <f>_xlfn.CONCAT(EmpTable[[#This Row],[First Name]],EmpTable[[#This Row],[Last Name]])</f>
        <v>AhmadEurman</v>
      </c>
      <c r="E322" t="s">
        <v>32</v>
      </c>
      <c r="F322" s="1">
        <v>42601</v>
      </c>
      <c r="G322" s="2">
        <f ca="1">DATEDIF(EmpTable[[#This Row],[Start Date]],TODAY(),"Y")</f>
        <v>9</v>
      </c>
      <c r="H322" s="2" t="str" cm="1">
        <f t="array" aca="1" ref="H322" ca="1">_xlfn.IFS(G322&lt;=1,"Fresh",G322&lt;=3,"Junior",G322&lt;=7,"Teamlead",G322&gt;=7,"manger")</f>
        <v>manger</v>
      </c>
      <c r="I322" t="s">
        <v>28</v>
      </c>
      <c r="J322" t="s">
        <v>18</v>
      </c>
      <c r="K322" t="s">
        <v>42</v>
      </c>
      <c r="L322">
        <v>1810</v>
      </c>
      <c r="M322">
        <v>21720</v>
      </c>
      <c r="N322">
        <v>3</v>
      </c>
      <c r="O322" t="str" cm="1">
        <f t="array" ref="O322">_xlfn.IFS(EmpTable[[#This Row],[Job Rate]] &lt;=1,"LOW",N322&lt;=2,"LOW",N322&lt;=3,"MEDIUM",N322&gt;4,"HIGH")</f>
        <v>MEDIUM</v>
      </c>
      <c r="P322">
        <v>0</v>
      </c>
      <c r="Q322">
        <v>0</v>
      </c>
      <c r="R322">
        <v>5</v>
      </c>
    </row>
    <row r="323" spans="1:18" x14ac:dyDescent="0.3">
      <c r="A323">
        <v>322</v>
      </c>
      <c r="B323" t="s">
        <v>506</v>
      </c>
      <c r="C323" t="s">
        <v>507</v>
      </c>
      <c r="D323" t="str">
        <f>_xlfn.CONCAT(EmpTable[[#This Row],[First Name]],EmpTable[[#This Row],[Last Name]])</f>
        <v>Abd AllahAlmawsiliu</v>
      </c>
      <c r="E323" t="s">
        <v>32</v>
      </c>
      <c r="F323" s="1">
        <v>43322</v>
      </c>
      <c r="G323" s="2">
        <f ca="1">DATEDIF(EmpTable[[#This Row],[Start Date]],TODAY(),"Y")</f>
        <v>7</v>
      </c>
      <c r="H323" s="2" t="str" cm="1">
        <f t="array" aca="1" ref="H323" ca="1">_xlfn.IFS(G323&lt;=1,"Fresh",G323&lt;=3,"Junior",G323&lt;=7,"Teamlead",G323&gt;=7,"manger")</f>
        <v>Teamlead</v>
      </c>
      <c r="I323" t="s">
        <v>118</v>
      </c>
      <c r="J323" t="s">
        <v>22</v>
      </c>
      <c r="K323" t="s">
        <v>19</v>
      </c>
      <c r="L323">
        <v>2312</v>
      </c>
      <c r="M323">
        <v>27744</v>
      </c>
      <c r="N323">
        <v>3</v>
      </c>
      <c r="O323" t="str" cm="1">
        <f t="array" ref="O323">_xlfn.IFS(EmpTable[[#This Row],[Job Rate]] &lt;=1,"LOW",N323&lt;=2,"LOW",N323&lt;=3,"MEDIUM",N323&gt;4,"HIGH")</f>
        <v>MEDIUM</v>
      </c>
      <c r="P323">
        <v>3</v>
      </c>
      <c r="Q323">
        <v>0</v>
      </c>
      <c r="R323">
        <v>10</v>
      </c>
    </row>
    <row r="324" spans="1:18" x14ac:dyDescent="0.3">
      <c r="A324">
        <v>323</v>
      </c>
      <c r="B324" t="s">
        <v>300</v>
      </c>
      <c r="C324" t="s">
        <v>374</v>
      </c>
      <c r="D324" t="str">
        <f>_xlfn.CONCAT(EmpTable[[#This Row],[First Name]],EmpTable[[#This Row],[Last Name]])</f>
        <v>MajdEisaa</v>
      </c>
      <c r="E324" t="s">
        <v>307</v>
      </c>
      <c r="F324" s="1">
        <v>43993</v>
      </c>
      <c r="G324" s="2">
        <f ca="1">DATEDIF(EmpTable[[#This Row],[Start Date]],TODAY(),"Y")</f>
        <v>5</v>
      </c>
      <c r="H324" s="2" t="str" cm="1">
        <f t="array" aca="1" ref="H324" ca="1">_xlfn.IFS(G324&lt;=1,"Fresh",G324&lt;=3,"Junior",G324&lt;=7,"Teamlead",G324&gt;=7,"manger")</f>
        <v>Teamlead</v>
      </c>
      <c r="I324" t="s">
        <v>53</v>
      </c>
      <c r="J324" t="s">
        <v>18</v>
      </c>
      <c r="K324" t="s">
        <v>42</v>
      </c>
      <c r="L324">
        <v>2783</v>
      </c>
      <c r="M324">
        <v>33396</v>
      </c>
      <c r="N324">
        <v>1</v>
      </c>
      <c r="O324" t="str" cm="1">
        <f t="array" ref="O324">_xlfn.IFS(EmpTable[[#This Row],[Job Rate]] &lt;=1,"LOW",N324&lt;=2,"LOW",N324&lt;=3,"MEDIUM",N324&gt;4,"HIGH")</f>
        <v>LOW</v>
      </c>
      <c r="P324">
        <v>2</v>
      </c>
      <c r="Q324">
        <v>0</v>
      </c>
      <c r="R324">
        <v>15</v>
      </c>
    </row>
    <row r="325" spans="1:18" x14ac:dyDescent="0.3">
      <c r="A325">
        <v>324</v>
      </c>
      <c r="B325" t="s">
        <v>33</v>
      </c>
      <c r="C325" t="s">
        <v>508</v>
      </c>
      <c r="D325" t="str">
        <f>_xlfn.CONCAT(EmpTable[[#This Row],[First Name]],EmpTable[[#This Row],[Last Name]])</f>
        <v>MuhamadSalhany</v>
      </c>
      <c r="E325" t="s">
        <v>32</v>
      </c>
      <c r="F325" s="1">
        <v>44167</v>
      </c>
      <c r="G325" s="2">
        <f ca="1">DATEDIF(EmpTable[[#This Row],[Start Date]],TODAY(),"Y")</f>
        <v>5</v>
      </c>
      <c r="H325" s="2" t="str" cm="1">
        <f t="array" aca="1" ref="H325" ca="1">_xlfn.IFS(G325&lt;=1,"Fresh",G325&lt;=3,"Junior",G325&lt;=7,"Teamlead",G325&gt;=7,"manger")</f>
        <v>Teamlead</v>
      </c>
      <c r="I325" t="s">
        <v>17</v>
      </c>
      <c r="J325" t="s">
        <v>18</v>
      </c>
      <c r="K325" t="s">
        <v>42</v>
      </c>
      <c r="L325">
        <v>3428</v>
      </c>
      <c r="M325">
        <v>41136</v>
      </c>
      <c r="N325">
        <v>3</v>
      </c>
      <c r="O325" t="str" cm="1">
        <f t="array" ref="O325">_xlfn.IFS(EmpTable[[#This Row],[Job Rate]] &lt;=1,"LOW",N325&lt;=2,"LOW",N325&lt;=3,"MEDIUM",N325&gt;4,"HIGH")</f>
        <v>MEDIUM</v>
      </c>
      <c r="P325">
        <v>5</v>
      </c>
      <c r="Q325">
        <v>0</v>
      </c>
      <c r="R325">
        <v>10</v>
      </c>
    </row>
    <row r="326" spans="1:18" x14ac:dyDescent="0.3">
      <c r="A326">
        <v>325</v>
      </c>
      <c r="B326" t="s">
        <v>509</v>
      </c>
      <c r="C326" t="s">
        <v>198</v>
      </c>
      <c r="D326" t="str">
        <f>_xlfn.CONCAT(EmpTable[[#This Row],[First Name]],EmpTable[[#This Row],[Last Name]])</f>
        <v>AshrafAleid</v>
      </c>
      <c r="E326" t="s">
        <v>32</v>
      </c>
      <c r="F326" s="1">
        <v>43136</v>
      </c>
      <c r="G326" s="2">
        <f ca="1">DATEDIF(EmpTable[[#This Row],[Start Date]],TODAY(),"Y")</f>
        <v>8</v>
      </c>
      <c r="H326" s="2" t="str" cm="1">
        <f t="array" aca="1" ref="H326" ca="1">_xlfn.IFS(G326&lt;=1,"Fresh",G326&lt;=3,"Junior",G326&lt;=7,"Teamlead",G326&gt;=7,"manger")</f>
        <v>manger</v>
      </c>
      <c r="I326" t="s">
        <v>41</v>
      </c>
      <c r="J326" t="s">
        <v>18</v>
      </c>
      <c r="K326" t="s">
        <v>36</v>
      </c>
      <c r="L326">
        <v>3450</v>
      </c>
      <c r="M326">
        <v>41400</v>
      </c>
      <c r="N326">
        <v>2</v>
      </c>
      <c r="O326" t="str" cm="1">
        <f t="array" ref="O326">_xlfn.IFS(EmpTable[[#This Row],[Job Rate]] &lt;=1,"LOW",N326&lt;=2,"LOW",N326&lt;=3,"MEDIUM",N326&gt;4,"HIGH")</f>
        <v>LOW</v>
      </c>
      <c r="P326">
        <v>0</v>
      </c>
      <c r="Q326">
        <v>4</v>
      </c>
      <c r="R326">
        <v>9</v>
      </c>
    </row>
    <row r="327" spans="1:18" x14ac:dyDescent="0.3">
      <c r="A327">
        <v>326</v>
      </c>
      <c r="B327" t="s">
        <v>33</v>
      </c>
      <c r="C327" t="s">
        <v>510</v>
      </c>
      <c r="D327" t="str">
        <f>_xlfn.CONCAT(EmpTable[[#This Row],[First Name]],EmpTable[[#This Row],[Last Name]])</f>
        <v>MuhamadShadi Alghazy</v>
      </c>
      <c r="E327" t="s">
        <v>32</v>
      </c>
      <c r="F327" s="1">
        <v>43362</v>
      </c>
      <c r="G327" s="2">
        <f ca="1">DATEDIF(EmpTable[[#This Row],[Start Date]],TODAY(),"Y")</f>
        <v>7</v>
      </c>
      <c r="H327" s="2" t="str" cm="1">
        <f t="array" aca="1" ref="H327" ca="1">_xlfn.IFS(G327&lt;=1,"Fresh",G327&lt;=3,"Junior",G327&lt;=7,"Teamlead",G327&gt;=7,"manger")</f>
        <v>Teamlead</v>
      </c>
      <c r="I327" t="s">
        <v>353</v>
      </c>
      <c r="J327" t="s">
        <v>29</v>
      </c>
      <c r="K327" t="s">
        <v>42</v>
      </c>
      <c r="L327">
        <v>1226</v>
      </c>
      <c r="M327">
        <v>14712</v>
      </c>
      <c r="N327">
        <v>2</v>
      </c>
      <c r="O327" t="str" cm="1">
        <f t="array" ref="O327">_xlfn.IFS(EmpTable[[#This Row],[Job Rate]] &lt;=1,"LOW",N327&lt;=2,"LOW",N327&lt;=3,"MEDIUM",N327&gt;4,"HIGH")</f>
        <v>LOW</v>
      </c>
      <c r="P327">
        <v>6</v>
      </c>
      <c r="Q327">
        <v>5</v>
      </c>
      <c r="R327">
        <v>4</v>
      </c>
    </row>
    <row r="328" spans="1:18" x14ac:dyDescent="0.3">
      <c r="A328">
        <v>327</v>
      </c>
      <c r="B328" t="s">
        <v>33</v>
      </c>
      <c r="C328" t="s">
        <v>64</v>
      </c>
      <c r="D328" t="str">
        <f>_xlfn.CONCAT(EmpTable[[#This Row],[First Name]],EmpTable[[#This Row],[Last Name]])</f>
        <v>MuhamadHusayn</v>
      </c>
      <c r="E328" t="s">
        <v>32</v>
      </c>
      <c r="F328" s="1">
        <v>43707</v>
      </c>
      <c r="G328" s="2">
        <f ca="1">DATEDIF(EmpTable[[#This Row],[Start Date]],TODAY(),"Y")</f>
        <v>6</v>
      </c>
      <c r="H328" s="2" t="str" cm="1">
        <f t="array" aca="1" ref="H328" ca="1">_xlfn.IFS(G328&lt;=1,"Fresh",G328&lt;=3,"Junior",G328&lt;=7,"Teamlead",G328&gt;=7,"manger")</f>
        <v>Teamlead</v>
      </c>
      <c r="I328" t="s">
        <v>77</v>
      </c>
      <c r="J328" t="s">
        <v>18</v>
      </c>
      <c r="K328" t="s">
        <v>36</v>
      </c>
      <c r="L328">
        <v>3219</v>
      </c>
      <c r="M328">
        <v>38628</v>
      </c>
      <c r="N328">
        <v>3</v>
      </c>
      <c r="O328" t="str" cm="1">
        <f t="array" ref="O328">_xlfn.IFS(EmpTable[[#This Row],[Job Rate]] &lt;=1,"LOW",N328&lt;=2,"LOW",N328&lt;=3,"MEDIUM",N328&gt;4,"HIGH")</f>
        <v>MEDIUM</v>
      </c>
      <c r="P328">
        <v>0</v>
      </c>
      <c r="Q328">
        <v>0</v>
      </c>
      <c r="R328">
        <v>5</v>
      </c>
    </row>
    <row r="329" spans="1:18" x14ac:dyDescent="0.3">
      <c r="A329">
        <v>328</v>
      </c>
      <c r="B329" t="s">
        <v>170</v>
      </c>
      <c r="C329" t="s">
        <v>511</v>
      </c>
      <c r="D329" t="str">
        <f>_xlfn.CONCAT(EmpTable[[#This Row],[First Name]],EmpTable[[#This Row],[Last Name]])</f>
        <v>MazinBytar</v>
      </c>
      <c r="E329" t="s">
        <v>32</v>
      </c>
      <c r="F329" s="1">
        <v>43574</v>
      </c>
      <c r="G329" s="2">
        <f ca="1">DATEDIF(EmpTable[[#This Row],[Start Date]],TODAY(),"Y")</f>
        <v>6</v>
      </c>
      <c r="H329" s="2" t="str" cm="1">
        <f t="array" aca="1" ref="H329" ca="1">_xlfn.IFS(G329&lt;=1,"Fresh",G329&lt;=3,"Junior",G329&lt;=7,"Teamlead",G329&gt;=7,"manger")</f>
        <v>Teamlead</v>
      </c>
      <c r="I329" t="s">
        <v>17</v>
      </c>
      <c r="J329" t="s">
        <v>22</v>
      </c>
      <c r="K329" t="s">
        <v>42</v>
      </c>
      <c r="L329">
        <v>2060</v>
      </c>
      <c r="M329">
        <v>24720</v>
      </c>
      <c r="N329">
        <v>5</v>
      </c>
      <c r="O329" t="str" cm="1">
        <f t="array" ref="O329">_xlfn.IFS(EmpTable[[#This Row],[Job Rate]] &lt;=1,"LOW",N329&lt;=2,"LOW",N329&lt;=3,"MEDIUM",N329&gt;4,"HIGH")</f>
        <v>HIGH</v>
      </c>
      <c r="P329">
        <v>0</v>
      </c>
      <c r="Q329">
        <v>0</v>
      </c>
      <c r="R329">
        <v>14</v>
      </c>
    </row>
    <row r="330" spans="1:18" x14ac:dyDescent="0.3">
      <c r="A330">
        <v>329</v>
      </c>
      <c r="B330" t="s">
        <v>37</v>
      </c>
      <c r="C330" t="s">
        <v>512</v>
      </c>
      <c r="D330" t="str">
        <f>_xlfn.CONCAT(EmpTable[[#This Row],[First Name]],EmpTable[[#This Row],[Last Name]])</f>
        <v>IinFarahat</v>
      </c>
      <c r="E330" t="s">
        <v>307</v>
      </c>
      <c r="F330" s="1">
        <v>43483</v>
      </c>
      <c r="G330" s="2">
        <f ca="1">DATEDIF(EmpTable[[#This Row],[Start Date]],TODAY(),"Y")</f>
        <v>7</v>
      </c>
      <c r="H330" s="2" t="str" cm="1">
        <f t="array" aca="1" ref="H330" ca="1">_xlfn.IFS(G330&lt;=1,"Fresh",G330&lt;=3,"Junior",G330&lt;=7,"Teamlead",G330&gt;=7,"manger")</f>
        <v>Teamlead</v>
      </c>
      <c r="I330" t="s">
        <v>50</v>
      </c>
      <c r="J330" t="s">
        <v>48</v>
      </c>
      <c r="K330" t="s">
        <v>42</v>
      </c>
      <c r="L330">
        <v>2479</v>
      </c>
      <c r="M330">
        <v>29748</v>
      </c>
      <c r="N330">
        <v>5</v>
      </c>
      <c r="O330" t="str" cm="1">
        <f t="array" ref="O330">_xlfn.IFS(EmpTable[[#This Row],[Job Rate]] &lt;=1,"LOW",N330&lt;=2,"LOW",N330&lt;=3,"MEDIUM",N330&gt;4,"HIGH")</f>
        <v>HIGH</v>
      </c>
      <c r="P330">
        <v>0</v>
      </c>
      <c r="Q330">
        <v>2</v>
      </c>
      <c r="R330">
        <v>3</v>
      </c>
    </row>
    <row r="331" spans="1:18" x14ac:dyDescent="0.3">
      <c r="A331">
        <v>330</v>
      </c>
      <c r="B331" t="s">
        <v>375</v>
      </c>
      <c r="C331" t="s">
        <v>513</v>
      </c>
      <c r="D331" t="str">
        <f>_xlfn.CONCAT(EmpTable[[#This Row],[First Name]],EmpTable[[#This Row],[Last Name]])</f>
        <v>LamaAlbazir</v>
      </c>
      <c r="E331" t="s">
        <v>307</v>
      </c>
      <c r="F331" s="1">
        <v>43248</v>
      </c>
      <c r="G331" s="2">
        <f ca="1">DATEDIF(EmpTable[[#This Row],[Start Date]],TODAY(),"Y")</f>
        <v>7</v>
      </c>
      <c r="H331" s="2" t="str" cm="1">
        <f t="array" aca="1" ref="H331" ca="1">_xlfn.IFS(G331&lt;=1,"Fresh",G331&lt;=3,"Junior",G331&lt;=7,"Teamlead",G331&gt;=7,"manger")</f>
        <v>Teamlead</v>
      </c>
      <c r="I331" t="s">
        <v>35</v>
      </c>
      <c r="J331" t="s">
        <v>29</v>
      </c>
      <c r="K331" t="s">
        <v>42</v>
      </c>
      <c r="L331">
        <v>2106</v>
      </c>
      <c r="M331">
        <v>25272</v>
      </c>
      <c r="N331">
        <v>3</v>
      </c>
      <c r="O331" t="str" cm="1">
        <f t="array" ref="O331">_xlfn.IFS(EmpTable[[#This Row],[Job Rate]] &lt;=1,"LOW",N331&lt;=2,"LOW",N331&lt;=3,"MEDIUM",N331&gt;4,"HIGH")</f>
        <v>MEDIUM</v>
      </c>
      <c r="P331">
        <v>0</v>
      </c>
      <c r="Q331">
        <v>0</v>
      </c>
      <c r="R331">
        <v>9</v>
      </c>
    </row>
    <row r="332" spans="1:18" x14ac:dyDescent="0.3">
      <c r="A332">
        <v>331</v>
      </c>
      <c r="B332" t="s">
        <v>295</v>
      </c>
      <c r="C332" t="s">
        <v>514</v>
      </c>
      <c r="D332" t="str">
        <f>_xlfn.CONCAT(EmpTable[[#This Row],[First Name]],EmpTable[[#This Row],[Last Name]])</f>
        <v>EmarAlnisrin</v>
      </c>
      <c r="E332" t="s">
        <v>307</v>
      </c>
      <c r="F332" s="1">
        <v>43623</v>
      </c>
      <c r="G332" s="2">
        <f ca="1">DATEDIF(EmpTable[[#This Row],[Start Date]],TODAY(),"Y")</f>
        <v>6</v>
      </c>
      <c r="H332" s="2" t="str" cm="1">
        <f t="array" aca="1" ref="H332" ca="1">_xlfn.IFS(G332&lt;=1,"Fresh",G332&lt;=3,"Junior",G332&lt;=7,"Teamlead",G332&gt;=7,"manger")</f>
        <v>Teamlead</v>
      </c>
      <c r="I332" t="s">
        <v>28</v>
      </c>
      <c r="J332" t="s">
        <v>22</v>
      </c>
      <c r="K332" t="s">
        <v>60</v>
      </c>
      <c r="L332">
        <v>1480</v>
      </c>
      <c r="M332">
        <v>17760</v>
      </c>
      <c r="N332">
        <v>2</v>
      </c>
      <c r="O332" t="str" cm="1">
        <f t="array" ref="O332">_xlfn.IFS(EmpTable[[#This Row],[Job Rate]] &lt;=1,"LOW",N332&lt;=2,"LOW",N332&lt;=3,"MEDIUM",N332&gt;4,"HIGH")</f>
        <v>LOW</v>
      </c>
      <c r="P332">
        <v>0</v>
      </c>
      <c r="Q332">
        <v>0</v>
      </c>
      <c r="R332">
        <v>10</v>
      </c>
    </row>
    <row r="333" spans="1:18" x14ac:dyDescent="0.3">
      <c r="A333">
        <v>332</v>
      </c>
      <c r="B333" t="s">
        <v>515</v>
      </c>
      <c r="C333" t="s">
        <v>516</v>
      </c>
      <c r="D333" t="str">
        <f>_xlfn.CONCAT(EmpTable[[#This Row],[First Name]],EmpTable[[#This Row],[Last Name]])</f>
        <v>AfraSharabi</v>
      </c>
      <c r="E333" t="s">
        <v>307</v>
      </c>
      <c r="F333" s="1">
        <v>43058</v>
      </c>
      <c r="G333" s="2">
        <f ca="1">DATEDIF(EmpTable[[#This Row],[Start Date]],TODAY(),"Y")</f>
        <v>8</v>
      </c>
      <c r="H333" s="2" t="str" cm="1">
        <f t="array" aca="1" ref="H333" ca="1">_xlfn.IFS(G333&lt;=1,"Fresh",G333&lt;=3,"Junior",G333&lt;=7,"Teamlead",G333&gt;=7,"manger")</f>
        <v>manger</v>
      </c>
      <c r="I333" t="s">
        <v>28</v>
      </c>
      <c r="J333" t="s">
        <v>18</v>
      </c>
      <c r="K333" t="s">
        <v>19</v>
      </c>
      <c r="L333">
        <v>994</v>
      </c>
      <c r="M333">
        <v>11928</v>
      </c>
      <c r="N333">
        <v>1</v>
      </c>
      <c r="O333" t="str" cm="1">
        <f t="array" ref="O333">_xlfn.IFS(EmpTable[[#This Row],[Job Rate]] &lt;=1,"LOW",N333&lt;=2,"LOW",N333&lt;=3,"MEDIUM",N333&gt;4,"HIGH")</f>
        <v>LOW</v>
      </c>
      <c r="P333">
        <v>0</v>
      </c>
      <c r="Q333">
        <v>0</v>
      </c>
      <c r="R333">
        <v>9</v>
      </c>
    </row>
    <row r="334" spans="1:18" x14ac:dyDescent="0.3">
      <c r="A334">
        <v>333</v>
      </c>
      <c r="B334" t="s">
        <v>30</v>
      </c>
      <c r="C334" t="s">
        <v>517</v>
      </c>
      <c r="D334" t="str">
        <f>_xlfn.CONCAT(EmpTable[[#This Row],[First Name]],EmpTable[[#This Row],[Last Name]])</f>
        <v>AhmadHamuwd</v>
      </c>
      <c r="E334" t="s">
        <v>32</v>
      </c>
      <c r="F334" s="1">
        <v>43797</v>
      </c>
      <c r="G334" s="2">
        <f ca="1">DATEDIF(EmpTable[[#This Row],[Start Date]],TODAY(),"Y")</f>
        <v>6</v>
      </c>
      <c r="H334" s="2" t="str" cm="1">
        <f t="array" aca="1" ref="H334" ca="1">_xlfn.IFS(G334&lt;=1,"Fresh",G334&lt;=3,"Junior",G334&lt;=7,"Teamlead",G334&gt;=7,"manger")</f>
        <v>Teamlead</v>
      </c>
      <c r="I334" t="s">
        <v>53</v>
      </c>
      <c r="J334" t="s">
        <v>29</v>
      </c>
      <c r="K334" t="s">
        <v>42</v>
      </c>
      <c r="L334">
        <v>2119</v>
      </c>
      <c r="M334">
        <v>25428</v>
      </c>
      <c r="N334">
        <v>4.5</v>
      </c>
      <c r="O334" t="str" cm="1">
        <f t="array" ref="O334">_xlfn.IFS(EmpTable[[#This Row],[Job Rate]] &lt;=1,"LOW",N334&lt;=2,"LOW",N334&lt;=3,"MEDIUM",N334&gt;4,"HIGH")</f>
        <v>HIGH</v>
      </c>
      <c r="P334">
        <v>1</v>
      </c>
      <c r="Q334">
        <v>5</v>
      </c>
      <c r="R334">
        <v>0</v>
      </c>
    </row>
    <row r="335" spans="1:18" x14ac:dyDescent="0.3">
      <c r="A335">
        <v>334</v>
      </c>
      <c r="B335" t="s">
        <v>518</v>
      </c>
      <c r="C335" t="s">
        <v>519</v>
      </c>
      <c r="D335" t="str">
        <f>_xlfn.CONCAT(EmpTable[[#This Row],[First Name]],EmpTable[[#This Row],[Last Name]])</f>
        <v>RamizAleuryan</v>
      </c>
      <c r="E335" t="s">
        <v>32</v>
      </c>
      <c r="F335" s="1">
        <v>43378</v>
      </c>
      <c r="G335" s="2">
        <f ca="1">DATEDIF(EmpTable[[#This Row],[Start Date]],TODAY(),"Y")</f>
        <v>7</v>
      </c>
      <c r="H335" s="2" t="str" cm="1">
        <f t="array" aca="1" ref="H335" ca="1">_xlfn.IFS(G335&lt;=1,"Fresh",G335&lt;=3,"Junior",G335&lt;=7,"Teamlead",G335&gt;=7,"manger")</f>
        <v>Teamlead</v>
      </c>
      <c r="I335" t="s">
        <v>50</v>
      </c>
      <c r="J335" t="s">
        <v>18</v>
      </c>
      <c r="K335" t="s">
        <v>42</v>
      </c>
      <c r="L335">
        <v>1577</v>
      </c>
      <c r="M335">
        <v>18924</v>
      </c>
      <c r="N335">
        <v>4.5</v>
      </c>
      <c r="O335" t="str" cm="1">
        <f t="array" ref="O335">_xlfn.IFS(EmpTable[[#This Row],[Job Rate]] &lt;=1,"LOW",N335&lt;=2,"LOW",N335&lt;=3,"MEDIUM",N335&gt;4,"HIGH")</f>
        <v>HIGH</v>
      </c>
      <c r="P335">
        <v>0</v>
      </c>
      <c r="Q335">
        <v>0</v>
      </c>
      <c r="R335">
        <v>7</v>
      </c>
    </row>
    <row r="336" spans="1:18" x14ac:dyDescent="0.3">
      <c r="A336">
        <v>335</v>
      </c>
      <c r="B336" t="s">
        <v>49</v>
      </c>
      <c r="C336" t="s">
        <v>520</v>
      </c>
      <c r="D336" t="str">
        <f>_xlfn.CONCAT(EmpTable[[#This Row],[First Name]],EmpTable[[#This Row],[Last Name]])</f>
        <v>IadEaku</v>
      </c>
      <c r="E336" t="s">
        <v>32</v>
      </c>
      <c r="F336" s="1">
        <v>43224</v>
      </c>
      <c r="G336" s="2">
        <f ca="1">DATEDIF(EmpTable[[#This Row],[Start Date]],TODAY(),"Y")</f>
        <v>7</v>
      </c>
      <c r="H336" s="2" t="str" cm="1">
        <f t="array" aca="1" ref="H336" ca="1">_xlfn.IFS(G336&lt;=1,"Fresh",G336&lt;=3,"Junior",G336&lt;=7,"Teamlead",G336&gt;=7,"manger")</f>
        <v>Teamlead</v>
      </c>
      <c r="I336" t="s">
        <v>17</v>
      </c>
      <c r="J336" t="s">
        <v>29</v>
      </c>
      <c r="K336" t="s">
        <v>42</v>
      </c>
      <c r="L336">
        <v>3160</v>
      </c>
      <c r="M336">
        <v>37920</v>
      </c>
      <c r="N336">
        <v>5</v>
      </c>
      <c r="O336" t="str" cm="1">
        <f t="array" ref="O336">_xlfn.IFS(EmpTable[[#This Row],[Job Rate]] &lt;=1,"LOW",N336&lt;=2,"LOW",N336&lt;=3,"MEDIUM",N336&gt;4,"HIGH")</f>
        <v>HIGH</v>
      </c>
      <c r="P336">
        <v>0</v>
      </c>
      <c r="Q336">
        <v>5</v>
      </c>
      <c r="R336">
        <v>10</v>
      </c>
    </row>
    <row r="337" spans="1:18" x14ac:dyDescent="0.3">
      <c r="A337">
        <v>336</v>
      </c>
      <c r="B337" t="s">
        <v>64</v>
      </c>
      <c r="C337" t="s">
        <v>521</v>
      </c>
      <c r="D337" t="str">
        <f>_xlfn.CONCAT(EmpTable[[#This Row],[First Name]],EmpTable[[#This Row],[Last Name]])</f>
        <v>HusaynEuthman</v>
      </c>
      <c r="E337" t="s">
        <v>32</v>
      </c>
      <c r="F337" s="1">
        <v>44123</v>
      </c>
      <c r="G337" s="2">
        <f ca="1">DATEDIF(EmpTable[[#This Row],[Start Date]],TODAY(),"Y")</f>
        <v>5</v>
      </c>
      <c r="H337" s="2" t="str" cm="1">
        <f t="array" aca="1" ref="H337" ca="1">_xlfn.IFS(G337&lt;=1,"Fresh",G337&lt;=3,"Junior",G337&lt;=7,"Teamlead",G337&gt;=7,"manger")</f>
        <v>Teamlead</v>
      </c>
      <c r="I337" t="s">
        <v>88</v>
      </c>
      <c r="J337" t="s">
        <v>22</v>
      </c>
      <c r="K337" t="s">
        <v>42</v>
      </c>
      <c r="L337">
        <v>2692</v>
      </c>
      <c r="M337">
        <v>32304</v>
      </c>
      <c r="N337">
        <v>1</v>
      </c>
      <c r="O337" t="str" cm="1">
        <f t="array" ref="O337">_xlfn.IFS(EmpTable[[#This Row],[Job Rate]] &lt;=1,"LOW",N337&lt;=2,"LOW",N337&lt;=3,"MEDIUM",N337&gt;4,"HIGH")</f>
        <v>LOW</v>
      </c>
      <c r="P337">
        <v>4</v>
      </c>
      <c r="Q337">
        <v>0</v>
      </c>
      <c r="R337">
        <v>6</v>
      </c>
    </row>
    <row r="338" spans="1:18" x14ac:dyDescent="0.3">
      <c r="A338">
        <v>337</v>
      </c>
      <c r="B338" t="s">
        <v>522</v>
      </c>
      <c r="C338" t="s">
        <v>523</v>
      </c>
      <c r="D338" t="str">
        <f>_xlfn.CONCAT(EmpTable[[#This Row],[First Name]],EmpTable[[#This Row],[Last Name]])</f>
        <v>ImranHazruma</v>
      </c>
      <c r="E338" t="s">
        <v>32</v>
      </c>
      <c r="F338" s="1">
        <v>43430</v>
      </c>
      <c r="G338" s="2">
        <f ca="1">DATEDIF(EmpTable[[#This Row],[Start Date]],TODAY(),"Y")</f>
        <v>7</v>
      </c>
      <c r="H338" s="2" t="str" cm="1">
        <f t="array" aca="1" ref="H338" ca="1">_xlfn.IFS(G338&lt;=1,"Fresh",G338&lt;=3,"Junior",G338&lt;=7,"Teamlead",G338&gt;=7,"manger")</f>
        <v>Teamlead</v>
      </c>
      <c r="I338" t="s">
        <v>41</v>
      </c>
      <c r="J338" t="s">
        <v>29</v>
      </c>
      <c r="K338" t="s">
        <v>60</v>
      </c>
      <c r="L338">
        <v>1448</v>
      </c>
      <c r="M338">
        <v>17376</v>
      </c>
      <c r="N338">
        <v>4.5</v>
      </c>
      <c r="O338" t="str" cm="1">
        <f t="array" ref="O338">_xlfn.IFS(EmpTable[[#This Row],[Job Rate]] &lt;=1,"LOW",N338&lt;=2,"LOW",N338&lt;=3,"MEDIUM",N338&gt;4,"HIGH")</f>
        <v>HIGH</v>
      </c>
      <c r="P338">
        <v>0</v>
      </c>
      <c r="Q338">
        <v>0</v>
      </c>
      <c r="R338">
        <v>1</v>
      </c>
    </row>
    <row r="339" spans="1:18" x14ac:dyDescent="0.3">
      <c r="A339">
        <v>338</v>
      </c>
      <c r="B339" t="s">
        <v>524</v>
      </c>
      <c r="C339" t="s">
        <v>525</v>
      </c>
      <c r="D339" t="str">
        <f>_xlfn.CONCAT(EmpTable[[#This Row],[First Name]],EmpTable[[#This Row],[Last Name]])</f>
        <v>RawanDurkzili</v>
      </c>
      <c r="E339" t="s">
        <v>307</v>
      </c>
      <c r="F339" s="1">
        <v>43541</v>
      </c>
      <c r="G339" s="2">
        <f ca="1">DATEDIF(EmpTable[[#This Row],[Start Date]],TODAY(),"Y")</f>
        <v>7</v>
      </c>
      <c r="H339" s="2" t="str" cm="1">
        <f t="array" aca="1" ref="H339" ca="1">_xlfn.IFS(G339&lt;=1,"Fresh",G339&lt;=3,"Junior",G339&lt;=7,"Teamlead",G339&gt;=7,"manger")</f>
        <v>Teamlead</v>
      </c>
      <c r="I339" t="s">
        <v>28</v>
      </c>
      <c r="J339" t="s">
        <v>18</v>
      </c>
      <c r="K339" t="s">
        <v>19</v>
      </c>
      <c r="L339">
        <v>1568</v>
      </c>
      <c r="M339">
        <v>18816</v>
      </c>
      <c r="N339">
        <v>3</v>
      </c>
      <c r="O339" t="str" cm="1">
        <f t="array" ref="O339">_xlfn.IFS(EmpTable[[#This Row],[Job Rate]] &lt;=1,"LOW",N339&lt;=2,"LOW",N339&lt;=3,"MEDIUM",N339&gt;4,"HIGH")</f>
        <v>MEDIUM</v>
      </c>
      <c r="P339">
        <v>5</v>
      </c>
      <c r="Q339">
        <v>0</v>
      </c>
      <c r="R339">
        <v>7</v>
      </c>
    </row>
    <row r="340" spans="1:18" x14ac:dyDescent="0.3">
      <c r="A340">
        <v>339</v>
      </c>
      <c r="B340" t="s">
        <v>437</v>
      </c>
      <c r="C340" t="s">
        <v>526</v>
      </c>
      <c r="D340" t="str">
        <f>_xlfn.CONCAT(EmpTable[[#This Row],[First Name]],EmpTable[[#This Row],[Last Name]])</f>
        <v>MuayidShaqir</v>
      </c>
      <c r="E340" t="s">
        <v>32</v>
      </c>
      <c r="F340" s="1">
        <v>42724</v>
      </c>
      <c r="G340" s="2">
        <f ca="1">DATEDIF(EmpTable[[#This Row],[Start Date]],TODAY(),"Y")</f>
        <v>9</v>
      </c>
      <c r="H340" s="2" t="str" cm="1">
        <f t="array" aca="1" ref="H340" ca="1">_xlfn.IFS(G340&lt;=1,"Fresh",G340&lt;=3,"Junior",G340&lt;=7,"Teamlead",G340&gt;=7,"manger")</f>
        <v>manger</v>
      </c>
      <c r="I340" t="s">
        <v>53</v>
      </c>
      <c r="J340" t="s">
        <v>18</v>
      </c>
      <c r="K340" t="s">
        <v>36</v>
      </c>
      <c r="L340">
        <v>1823</v>
      </c>
      <c r="M340">
        <v>21876</v>
      </c>
      <c r="N340">
        <v>4.5</v>
      </c>
      <c r="O340" t="str" cm="1">
        <f t="array" ref="O340">_xlfn.IFS(EmpTable[[#This Row],[Job Rate]] &lt;=1,"LOW",N340&lt;=2,"LOW",N340&lt;=3,"MEDIUM",N340&gt;4,"HIGH")</f>
        <v>HIGH</v>
      </c>
      <c r="P340">
        <v>5</v>
      </c>
      <c r="Q340">
        <v>0</v>
      </c>
      <c r="R340">
        <v>9</v>
      </c>
    </row>
    <row r="341" spans="1:18" x14ac:dyDescent="0.3">
      <c r="A341">
        <v>340</v>
      </c>
      <c r="B341" t="s">
        <v>527</v>
      </c>
      <c r="C341" t="s">
        <v>528</v>
      </c>
      <c r="D341" t="str">
        <f>_xlfn.CONCAT(EmpTable[[#This Row],[First Name]],EmpTable[[#This Row],[Last Name]])</f>
        <v>MuanisAlsabagh</v>
      </c>
      <c r="E341" t="s">
        <v>32</v>
      </c>
      <c r="F341" s="1">
        <v>43512</v>
      </c>
      <c r="G341" s="2">
        <f ca="1">DATEDIF(EmpTable[[#This Row],[Start Date]],TODAY(),"Y")</f>
        <v>7</v>
      </c>
      <c r="H341" s="2" t="str" cm="1">
        <f t="array" aca="1" ref="H341" ca="1">_xlfn.IFS(G341&lt;=1,"Fresh",G341&lt;=3,"Junior",G341&lt;=7,"Teamlead",G341&gt;=7,"manger")</f>
        <v>Teamlead</v>
      </c>
      <c r="I341" t="s">
        <v>28</v>
      </c>
      <c r="J341" t="s">
        <v>18</v>
      </c>
      <c r="K341" t="s">
        <v>19</v>
      </c>
      <c r="L341">
        <v>1712</v>
      </c>
      <c r="M341">
        <v>20544</v>
      </c>
      <c r="N341">
        <v>4.5</v>
      </c>
      <c r="O341" t="str" cm="1">
        <f t="array" ref="O341">_xlfn.IFS(EmpTable[[#This Row],[Job Rate]] &lt;=1,"LOW",N341&lt;=2,"LOW",N341&lt;=3,"MEDIUM",N341&gt;4,"HIGH")</f>
        <v>HIGH</v>
      </c>
      <c r="P341">
        <v>0</v>
      </c>
      <c r="Q341">
        <v>4</v>
      </c>
      <c r="R341">
        <v>15</v>
      </c>
    </row>
    <row r="342" spans="1:18" x14ac:dyDescent="0.3">
      <c r="A342">
        <v>341</v>
      </c>
      <c r="B342" t="s">
        <v>529</v>
      </c>
      <c r="C342" t="s">
        <v>530</v>
      </c>
      <c r="D342" t="str">
        <f>_xlfn.CONCAT(EmpTable[[#This Row],[First Name]],EmpTable[[#This Row],[Last Name]])</f>
        <v>DijwarHusu</v>
      </c>
      <c r="E342" t="s">
        <v>32</v>
      </c>
      <c r="F342" s="1">
        <v>44134</v>
      </c>
      <c r="G342" s="2">
        <f ca="1">DATEDIF(EmpTable[[#This Row],[Start Date]],TODAY(),"Y")</f>
        <v>5</v>
      </c>
      <c r="H342" s="2" t="str" cm="1">
        <f t="array" aca="1" ref="H342" ca="1">_xlfn.IFS(G342&lt;=1,"Fresh",G342&lt;=3,"Junior",G342&lt;=7,"Teamlead",G342&gt;=7,"manger")</f>
        <v>Teamlead</v>
      </c>
      <c r="I342" t="s">
        <v>35</v>
      </c>
      <c r="J342" t="s">
        <v>29</v>
      </c>
      <c r="K342" t="s">
        <v>60</v>
      </c>
      <c r="L342">
        <v>744</v>
      </c>
      <c r="M342">
        <v>8928</v>
      </c>
      <c r="N342">
        <v>5</v>
      </c>
      <c r="O342" t="str" cm="1">
        <f t="array" ref="O342">_xlfn.IFS(EmpTable[[#This Row],[Job Rate]] &lt;=1,"LOW",N342&lt;=2,"LOW",N342&lt;=3,"MEDIUM",N342&gt;4,"HIGH")</f>
        <v>HIGH</v>
      </c>
      <c r="P342">
        <v>5</v>
      </c>
      <c r="Q342">
        <v>0</v>
      </c>
      <c r="R342">
        <v>8</v>
      </c>
    </row>
    <row r="343" spans="1:18" x14ac:dyDescent="0.3">
      <c r="A343">
        <v>342</v>
      </c>
      <c r="B343" t="s">
        <v>531</v>
      </c>
      <c r="C343" t="s">
        <v>532</v>
      </c>
      <c r="D343" t="str">
        <f>_xlfn.CONCAT(EmpTable[[#This Row],[First Name]],EmpTable[[#This Row],[Last Name]])</f>
        <v>AsamaEilwan</v>
      </c>
      <c r="E343" t="s">
        <v>307</v>
      </c>
      <c r="F343" s="1">
        <v>42945</v>
      </c>
      <c r="G343" s="2">
        <f ca="1">DATEDIF(EmpTable[[#This Row],[Start Date]],TODAY(),"Y")</f>
        <v>8</v>
      </c>
      <c r="H343" s="2" t="str" cm="1">
        <f t="array" aca="1" ref="H343" ca="1">_xlfn.IFS(G343&lt;=1,"Fresh",G343&lt;=3,"Junior",G343&lt;=7,"Teamlead",G343&gt;=7,"manger")</f>
        <v>manger</v>
      </c>
      <c r="I343" t="s">
        <v>28</v>
      </c>
      <c r="J343" t="s">
        <v>18</v>
      </c>
      <c r="K343" t="s">
        <v>36</v>
      </c>
      <c r="L343">
        <v>2972</v>
      </c>
      <c r="M343">
        <v>35664</v>
      </c>
      <c r="N343">
        <v>5</v>
      </c>
      <c r="O343" t="str" cm="1">
        <f t="array" ref="O343">_xlfn.IFS(EmpTable[[#This Row],[Job Rate]] &lt;=1,"LOW",N343&lt;=2,"LOW",N343&lt;=3,"MEDIUM",N343&gt;4,"HIGH")</f>
        <v>HIGH</v>
      </c>
      <c r="P343">
        <v>0</v>
      </c>
      <c r="Q343">
        <v>4</v>
      </c>
      <c r="R343">
        <v>2</v>
      </c>
    </row>
    <row r="344" spans="1:18" x14ac:dyDescent="0.3">
      <c r="A344">
        <v>343</v>
      </c>
      <c r="B344" t="s">
        <v>457</v>
      </c>
      <c r="C344" t="s">
        <v>533</v>
      </c>
      <c r="D344" t="str">
        <f>_xlfn.CONCAT(EmpTable[[#This Row],[First Name]],EmpTable[[#This Row],[Last Name]])</f>
        <v>EsamatAlhidad</v>
      </c>
      <c r="E344" t="s">
        <v>32</v>
      </c>
      <c r="F344" s="1">
        <v>43785</v>
      </c>
      <c r="G344" s="2">
        <f ca="1">DATEDIF(EmpTable[[#This Row],[Start Date]],TODAY(),"Y")</f>
        <v>6</v>
      </c>
      <c r="H344" s="2" t="str" cm="1">
        <f t="array" aca="1" ref="H344" ca="1">_xlfn.IFS(G344&lt;=1,"Fresh",G344&lt;=3,"Junior",G344&lt;=7,"Teamlead",G344&gt;=7,"manger")</f>
        <v>Teamlead</v>
      </c>
      <c r="I344" t="s">
        <v>41</v>
      </c>
      <c r="J344" t="s">
        <v>18</v>
      </c>
      <c r="K344" t="s">
        <v>36</v>
      </c>
      <c r="L344">
        <v>2931</v>
      </c>
      <c r="M344">
        <v>35172</v>
      </c>
      <c r="N344">
        <v>3</v>
      </c>
      <c r="O344" t="str" cm="1">
        <f t="array" ref="O344">_xlfn.IFS(EmpTable[[#This Row],[Job Rate]] &lt;=1,"LOW",N344&lt;=2,"LOW",N344&lt;=3,"MEDIUM",N344&gt;4,"HIGH")</f>
        <v>MEDIUM</v>
      </c>
      <c r="P344">
        <v>6</v>
      </c>
      <c r="Q344">
        <v>0</v>
      </c>
      <c r="R344">
        <v>71</v>
      </c>
    </row>
    <row r="345" spans="1:18" x14ac:dyDescent="0.3">
      <c r="A345">
        <v>344</v>
      </c>
      <c r="B345" t="s">
        <v>195</v>
      </c>
      <c r="C345" t="s">
        <v>534</v>
      </c>
      <c r="D345" t="str">
        <f>_xlfn.CONCAT(EmpTable[[#This Row],[First Name]],EmpTable[[#This Row],[Last Name]])</f>
        <v>TariqZaeur</v>
      </c>
      <c r="E345" t="s">
        <v>32</v>
      </c>
      <c r="F345" s="1">
        <v>43301</v>
      </c>
      <c r="G345" s="2">
        <f ca="1">DATEDIF(EmpTable[[#This Row],[Start Date]],TODAY(),"Y")</f>
        <v>7</v>
      </c>
      <c r="H345" s="2" t="str" cm="1">
        <f t="array" aca="1" ref="H345" ca="1">_xlfn.IFS(G345&lt;=1,"Fresh",G345&lt;=3,"Junior",G345&lt;=7,"Teamlead",G345&gt;=7,"manger")</f>
        <v>Teamlead</v>
      </c>
      <c r="I345" t="s">
        <v>118</v>
      </c>
      <c r="J345" t="s">
        <v>48</v>
      </c>
      <c r="K345" t="s">
        <v>19</v>
      </c>
      <c r="L345">
        <v>2544</v>
      </c>
      <c r="M345">
        <v>30528</v>
      </c>
      <c r="N345">
        <v>3</v>
      </c>
      <c r="O345" t="str" cm="1">
        <f t="array" ref="O345">_xlfn.IFS(EmpTable[[#This Row],[Job Rate]] &lt;=1,"LOW",N345&lt;=2,"LOW",N345&lt;=3,"MEDIUM",N345&gt;4,"HIGH")</f>
        <v>MEDIUM</v>
      </c>
      <c r="P345">
        <v>0</v>
      </c>
      <c r="Q345">
        <v>0</v>
      </c>
      <c r="R345">
        <v>2</v>
      </c>
    </row>
    <row r="346" spans="1:18" x14ac:dyDescent="0.3">
      <c r="A346">
        <v>345</v>
      </c>
      <c r="B346" t="s">
        <v>535</v>
      </c>
      <c r="C346" t="s">
        <v>536</v>
      </c>
      <c r="D346" t="str">
        <f>_xlfn.CONCAT(EmpTable[[#This Row],[First Name]],EmpTable[[#This Row],[Last Name]])</f>
        <v>RasulAleumurii</v>
      </c>
      <c r="E346" t="s">
        <v>32</v>
      </c>
      <c r="F346" s="1">
        <v>42605</v>
      </c>
      <c r="G346" s="2">
        <f ca="1">DATEDIF(EmpTable[[#This Row],[Start Date]],TODAY(),"Y")</f>
        <v>9</v>
      </c>
      <c r="H346" s="2" t="str" cm="1">
        <f t="array" aca="1" ref="H346" ca="1">_xlfn.IFS(G346&lt;=1,"Fresh",G346&lt;=3,"Junior",G346&lt;=7,"Teamlead",G346&gt;=7,"manger")</f>
        <v>manger</v>
      </c>
      <c r="I346" t="s">
        <v>28</v>
      </c>
      <c r="J346" t="s">
        <v>22</v>
      </c>
      <c r="K346" t="s">
        <v>42</v>
      </c>
      <c r="L346">
        <v>1595</v>
      </c>
      <c r="M346">
        <v>19140</v>
      </c>
      <c r="N346">
        <v>5</v>
      </c>
      <c r="O346" t="str" cm="1">
        <f t="array" ref="O346">_xlfn.IFS(EmpTable[[#This Row],[Job Rate]] &lt;=1,"LOW",N346&lt;=2,"LOW",N346&lt;=3,"MEDIUM",N346&gt;4,"HIGH")</f>
        <v>HIGH</v>
      </c>
      <c r="P346">
        <v>0</v>
      </c>
      <c r="Q346">
        <v>0</v>
      </c>
      <c r="R346">
        <v>0</v>
      </c>
    </row>
    <row r="347" spans="1:18" x14ac:dyDescent="0.3">
      <c r="A347">
        <v>346</v>
      </c>
      <c r="B347" t="s">
        <v>524</v>
      </c>
      <c r="C347" t="s">
        <v>537</v>
      </c>
      <c r="D347" t="str">
        <f>_xlfn.CONCAT(EmpTable[[#This Row],[First Name]],EmpTable[[#This Row],[Last Name]])</f>
        <v>RawanAlbaytar</v>
      </c>
      <c r="E347" t="s">
        <v>307</v>
      </c>
      <c r="F347" s="1">
        <v>43439</v>
      </c>
      <c r="G347" s="2">
        <f ca="1">DATEDIF(EmpTable[[#This Row],[Start Date]],TODAY(),"Y")</f>
        <v>7</v>
      </c>
      <c r="H347" s="2" t="str" cm="1">
        <f t="array" aca="1" ref="H347" ca="1">_xlfn.IFS(G347&lt;=1,"Fresh",G347&lt;=3,"Junior",G347&lt;=7,"Teamlead",G347&gt;=7,"manger")</f>
        <v>Teamlead</v>
      </c>
      <c r="I347" t="s">
        <v>41</v>
      </c>
      <c r="J347" t="s">
        <v>48</v>
      </c>
      <c r="K347" t="s">
        <v>19</v>
      </c>
      <c r="L347">
        <v>1326</v>
      </c>
      <c r="M347">
        <v>15912</v>
      </c>
      <c r="N347">
        <v>3</v>
      </c>
      <c r="O347" t="str" cm="1">
        <f t="array" ref="O347">_xlfn.IFS(EmpTable[[#This Row],[Job Rate]] &lt;=1,"LOW",N347&lt;=2,"LOW",N347&lt;=3,"MEDIUM",N347&gt;4,"HIGH")</f>
        <v>MEDIUM</v>
      </c>
      <c r="P347">
        <v>0</v>
      </c>
      <c r="Q347">
        <v>3</v>
      </c>
      <c r="R347">
        <v>7</v>
      </c>
    </row>
    <row r="348" spans="1:18" x14ac:dyDescent="0.3">
      <c r="A348">
        <v>347</v>
      </c>
      <c r="B348" t="s">
        <v>20</v>
      </c>
      <c r="C348" t="s">
        <v>538</v>
      </c>
      <c r="D348" t="str">
        <f>_xlfn.CONCAT(EmpTable[[#This Row],[First Name]],EmpTable[[#This Row],[Last Name]])</f>
        <v>OmarAltuean</v>
      </c>
      <c r="E348" t="s">
        <v>32</v>
      </c>
      <c r="F348" s="1">
        <v>43492</v>
      </c>
      <c r="G348" s="2">
        <f ca="1">DATEDIF(EmpTable[[#This Row],[Start Date]],TODAY(),"Y")</f>
        <v>7</v>
      </c>
      <c r="H348" s="2" t="str" cm="1">
        <f t="array" aca="1" ref="H348" ca="1">_xlfn.IFS(G348&lt;=1,"Fresh",G348&lt;=3,"Junior",G348&lt;=7,"Teamlead",G348&gt;=7,"manger")</f>
        <v>Teamlead</v>
      </c>
      <c r="I348" t="s">
        <v>58</v>
      </c>
      <c r="J348" t="s">
        <v>18</v>
      </c>
      <c r="K348" t="s">
        <v>42</v>
      </c>
      <c r="L348">
        <v>3117</v>
      </c>
      <c r="M348">
        <v>37404</v>
      </c>
      <c r="N348">
        <v>3</v>
      </c>
      <c r="O348" t="str" cm="1">
        <f t="array" ref="O348">_xlfn.IFS(EmpTable[[#This Row],[Job Rate]] &lt;=1,"LOW",N348&lt;=2,"LOW",N348&lt;=3,"MEDIUM",N348&gt;4,"HIGH")</f>
        <v>MEDIUM</v>
      </c>
      <c r="P348">
        <v>0</v>
      </c>
      <c r="Q348">
        <v>4</v>
      </c>
      <c r="R348">
        <v>0</v>
      </c>
    </row>
    <row r="349" spans="1:18" x14ac:dyDescent="0.3">
      <c r="A349">
        <v>348</v>
      </c>
      <c r="B349" t="s">
        <v>539</v>
      </c>
      <c r="C349" t="s">
        <v>540</v>
      </c>
      <c r="D349" t="str">
        <f>_xlfn.CONCAT(EmpTable[[#This Row],[First Name]],EmpTable[[#This Row],[Last Name]])</f>
        <v>DaliaHamdan</v>
      </c>
      <c r="E349" t="s">
        <v>307</v>
      </c>
      <c r="F349" s="1">
        <v>43507</v>
      </c>
      <c r="G349" s="2">
        <f ca="1">DATEDIF(EmpTable[[#This Row],[Start Date]],TODAY(),"Y")</f>
        <v>7</v>
      </c>
      <c r="H349" s="2" t="str" cm="1">
        <f t="array" aca="1" ref="H349" ca="1">_xlfn.IFS(G349&lt;=1,"Fresh",G349&lt;=3,"Junior",G349&lt;=7,"Teamlead",G349&gt;=7,"manger")</f>
        <v>Teamlead</v>
      </c>
      <c r="I349" t="s">
        <v>25</v>
      </c>
      <c r="J349" t="s">
        <v>18</v>
      </c>
      <c r="K349" t="s">
        <v>19</v>
      </c>
      <c r="L349">
        <v>3446</v>
      </c>
      <c r="M349">
        <v>41352</v>
      </c>
      <c r="N349">
        <v>5</v>
      </c>
      <c r="O349" t="str" cm="1">
        <f t="array" ref="O349">_xlfn.IFS(EmpTable[[#This Row],[Job Rate]] &lt;=1,"LOW",N349&lt;=2,"LOW",N349&lt;=3,"MEDIUM",N349&gt;4,"HIGH")</f>
        <v>HIGH</v>
      </c>
      <c r="P349">
        <v>0</v>
      </c>
      <c r="Q349">
        <v>0</v>
      </c>
      <c r="R349">
        <v>10</v>
      </c>
    </row>
    <row r="350" spans="1:18" x14ac:dyDescent="0.3">
      <c r="A350">
        <v>349</v>
      </c>
      <c r="B350" t="s">
        <v>20</v>
      </c>
      <c r="C350" t="s">
        <v>541</v>
      </c>
      <c r="D350" t="str">
        <f>_xlfn.CONCAT(EmpTable[[#This Row],[First Name]],EmpTable[[#This Row],[Last Name]])</f>
        <v>OmarAlhindi</v>
      </c>
      <c r="E350" t="s">
        <v>32</v>
      </c>
      <c r="F350" s="1">
        <v>43476</v>
      </c>
      <c r="G350" s="2">
        <f ca="1">DATEDIF(EmpTable[[#This Row],[Start Date]],TODAY(),"Y")</f>
        <v>7</v>
      </c>
      <c r="H350" s="2" t="str" cm="1">
        <f t="array" aca="1" ref="H350" ca="1">_xlfn.IFS(G350&lt;=1,"Fresh",G350&lt;=3,"Junior",G350&lt;=7,"Teamlead",G350&gt;=7,"manger")</f>
        <v>Teamlead</v>
      </c>
      <c r="I350" t="s">
        <v>28</v>
      </c>
      <c r="J350" t="s">
        <v>29</v>
      </c>
      <c r="K350" t="s">
        <v>19</v>
      </c>
      <c r="L350">
        <v>2023</v>
      </c>
      <c r="M350">
        <v>24276</v>
      </c>
      <c r="N350">
        <v>4.5</v>
      </c>
      <c r="O350" t="str" cm="1">
        <f t="array" ref="O350">_xlfn.IFS(EmpTable[[#This Row],[Job Rate]] &lt;=1,"LOW",N350&lt;=2,"LOW",N350&lt;=3,"MEDIUM",N350&gt;4,"HIGH")</f>
        <v>HIGH</v>
      </c>
      <c r="P350">
        <v>6</v>
      </c>
      <c r="Q350">
        <v>0</v>
      </c>
      <c r="R350">
        <v>6</v>
      </c>
    </row>
    <row r="351" spans="1:18" x14ac:dyDescent="0.3">
      <c r="A351">
        <v>350</v>
      </c>
      <c r="B351" t="s">
        <v>186</v>
      </c>
      <c r="C351" t="s">
        <v>542</v>
      </c>
      <c r="D351" t="str">
        <f>_xlfn.CONCAT(EmpTable[[#This Row],[First Name]],EmpTable[[#This Row],[Last Name]])</f>
        <v>AliZyny</v>
      </c>
      <c r="E351" t="s">
        <v>32</v>
      </c>
      <c r="F351" s="1">
        <v>44044</v>
      </c>
      <c r="G351" s="2">
        <f ca="1">DATEDIF(EmpTable[[#This Row],[Start Date]],TODAY(),"Y")</f>
        <v>5</v>
      </c>
      <c r="H351" s="2" t="str" cm="1">
        <f t="array" aca="1" ref="H351" ca="1">_xlfn.IFS(G351&lt;=1,"Fresh",G351&lt;=3,"Junior",G351&lt;=7,"Teamlead",G351&gt;=7,"manger")</f>
        <v>Teamlead</v>
      </c>
      <c r="I351" t="s">
        <v>77</v>
      </c>
      <c r="J351" t="s">
        <v>18</v>
      </c>
      <c r="K351" t="s">
        <v>36</v>
      </c>
      <c r="L351">
        <v>979</v>
      </c>
      <c r="M351">
        <v>11748</v>
      </c>
      <c r="N351">
        <v>3</v>
      </c>
      <c r="O351" t="str" cm="1">
        <f t="array" ref="O351">_xlfn.IFS(EmpTable[[#This Row],[Job Rate]] &lt;=1,"LOW",N351&lt;=2,"LOW",N351&lt;=3,"MEDIUM",N351&gt;4,"HIGH")</f>
        <v>MEDIUM</v>
      </c>
      <c r="P351">
        <v>6</v>
      </c>
      <c r="Q351">
        <v>0</v>
      </c>
      <c r="R351">
        <v>4</v>
      </c>
    </row>
    <row r="352" spans="1:18" x14ac:dyDescent="0.3">
      <c r="A352">
        <v>351</v>
      </c>
      <c r="B352" t="s">
        <v>543</v>
      </c>
      <c r="C352" t="s">
        <v>544</v>
      </c>
      <c r="D352" t="str">
        <f>_xlfn.CONCAT(EmpTable[[#This Row],[First Name]],EmpTable[[#This Row],[Last Name]])</f>
        <v>AlmuetazBiallah</v>
      </c>
      <c r="E352" t="s">
        <v>32</v>
      </c>
      <c r="F352" s="1">
        <v>44064</v>
      </c>
      <c r="G352" s="2">
        <f ca="1">DATEDIF(EmpTable[[#This Row],[Start Date]],TODAY(),"Y")</f>
        <v>5</v>
      </c>
      <c r="H352" s="2" t="str" cm="1">
        <f t="array" aca="1" ref="H352" ca="1">_xlfn.IFS(G352&lt;=1,"Fresh",G352&lt;=3,"Junior",G352&lt;=7,"Teamlead",G352&gt;=7,"manger")</f>
        <v>Teamlead</v>
      </c>
      <c r="I352" t="s">
        <v>163</v>
      </c>
      <c r="J352" t="s">
        <v>18</v>
      </c>
      <c r="K352" t="s">
        <v>42</v>
      </c>
      <c r="L352">
        <v>1676</v>
      </c>
      <c r="M352">
        <v>20112</v>
      </c>
      <c r="N352">
        <v>4.5</v>
      </c>
      <c r="O352" t="str" cm="1">
        <f t="array" ref="O352">_xlfn.IFS(EmpTable[[#This Row],[Job Rate]] &lt;=1,"LOW",N352&lt;=2,"LOW",N352&lt;=3,"MEDIUM",N352&gt;4,"HIGH")</f>
        <v>HIGH</v>
      </c>
      <c r="P352">
        <v>0</v>
      </c>
      <c r="Q352">
        <v>0</v>
      </c>
      <c r="R352">
        <v>8</v>
      </c>
    </row>
    <row r="353" spans="1:18" x14ac:dyDescent="0.3">
      <c r="A353">
        <v>352</v>
      </c>
      <c r="B353" t="s">
        <v>545</v>
      </c>
      <c r="C353" t="s">
        <v>546</v>
      </c>
      <c r="D353" t="str">
        <f>_xlfn.CONCAT(EmpTable[[#This Row],[First Name]],EmpTable[[#This Row],[Last Name]])</f>
        <v>RabanaAlsaman</v>
      </c>
      <c r="E353" t="s">
        <v>307</v>
      </c>
      <c r="F353" s="1">
        <v>42747</v>
      </c>
      <c r="G353" s="2">
        <f ca="1">DATEDIF(EmpTable[[#This Row],[Start Date]],TODAY(),"Y")</f>
        <v>9</v>
      </c>
      <c r="H353" s="2" t="str" cm="1">
        <f t="array" aca="1" ref="H353" ca="1">_xlfn.IFS(G353&lt;=1,"Fresh",G353&lt;=3,"Junior",G353&lt;=7,"Teamlead",G353&gt;=7,"manger")</f>
        <v>manger</v>
      </c>
      <c r="I353" t="s">
        <v>39</v>
      </c>
      <c r="J353" t="s">
        <v>18</v>
      </c>
      <c r="K353" t="s">
        <v>36</v>
      </c>
      <c r="L353">
        <v>3079</v>
      </c>
      <c r="M353">
        <v>36948</v>
      </c>
      <c r="N353">
        <v>3</v>
      </c>
      <c r="O353" t="str" cm="1">
        <f t="array" ref="O353">_xlfn.IFS(EmpTable[[#This Row],[Job Rate]] &lt;=1,"LOW",N353&lt;=2,"LOW",N353&lt;=3,"MEDIUM",N353&gt;4,"HIGH")</f>
        <v>MEDIUM</v>
      </c>
      <c r="P353">
        <v>0</v>
      </c>
      <c r="Q353">
        <v>0</v>
      </c>
      <c r="R353">
        <v>2</v>
      </c>
    </row>
    <row r="354" spans="1:18" x14ac:dyDescent="0.3">
      <c r="A354">
        <v>353</v>
      </c>
      <c r="B354" t="s">
        <v>122</v>
      </c>
      <c r="C354" t="s">
        <v>165</v>
      </c>
      <c r="D354" t="str">
        <f>_xlfn.CONCAT(EmpTable[[#This Row],[First Name]],EmpTable[[#This Row],[Last Name]])</f>
        <v>GhadaKhalid</v>
      </c>
      <c r="E354" t="s">
        <v>307</v>
      </c>
      <c r="F354" s="1">
        <v>43675</v>
      </c>
      <c r="G354" s="2">
        <f ca="1">DATEDIF(EmpTable[[#This Row],[Start Date]],TODAY(),"Y")</f>
        <v>6</v>
      </c>
      <c r="H354" s="2" t="str" cm="1">
        <f t="array" aca="1" ref="H354" ca="1">_xlfn.IFS(G354&lt;=1,"Fresh",G354&lt;=3,"Junior",G354&lt;=7,"Teamlead",G354&gt;=7,"manger")</f>
        <v>Teamlead</v>
      </c>
      <c r="I354" t="s">
        <v>50</v>
      </c>
      <c r="J354" t="s">
        <v>18</v>
      </c>
      <c r="K354" t="s">
        <v>42</v>
      </c>
      <c r="L354">
        <v>2164</v>
      </c>
      <c r="M354">
        <v>25968</v>
      </c>
      <c r="N354">
        <v>3</v>
      </c>
      <c r="O354" t="str" cm="1">
        <f t="array" ref="O354">_xlfn.IFS(EmpTable[[#This Row],[Job Rate]] &lt;=1,"LOW",N354&lt;=2,"LOW",N354&lt;=3,"MEDIUM",N354&gt;4,"HIGH")</f>
        <v>MEDIUM</v>
      </c>
      <c r="P354">
        <v>0</v>
      </c>
      <c r="Q354">
        <v>2</v>
      </c>
      <c r="R354">
        <v>0</v>
      </c>
    </row>
    <row r="355" spans="1:18" x14ac:dyDescent="0.3">
      <c r="A355">
        <v>354</v>
      </c>
      <c r="B355" t="s">
        <v>457</v>
      </c>
      <c r="C355" t="s">
        <v>547</v>
      </c>
      <c r="D355" t="str">
        <f>_xlfn.CONCAT(EmpTable[[#This Row],[First Name]],EmpTable[[#This Row],[Last Name]])</f>
        <v>EsamatAlriys</v>
      </c>
      <c r="E355" t="s">
        <v>32</v>
      </c>
      <c r="F355" s="1">
        <v>44146</v>
      </c>
      <c r="G355" s="2">
        <f ca="1">DATEDIF(EmpTable[[#This Row],[Start Date]],TODAY(),"Y")</f>
        <v>5</v>
      </c>
      <c r="H355" s="2" t="str" cm="1">
        <f t="array" aca="1" ref="H355" ca="1">_xlfn.IFS(G355&lt;=1,"Fresh",G355&lt;=3,"Junior",G355&lt;=7,"Teamlead",G355&gt;=7,"manger")</f>
        <v>Teamlead</v>
      </c>
      <c r="I355" t="s">
        <v>28</v>
      </c>
      <c r="J355" t="s">
        <v>18</v>
      </c>
      <c r="K355" t="s">
        <v>42</v>
      </c>
      <c r="L355">
        <v>2312</v>
      </c>
      <c r="M355">
        <v>27744</v>
      </c>
      <c r="N355">
        <v>3</v>
      </c>
      <c r="O355" t="str" cm="1">
        <f t="array" ref="O355">_xlfn.IFS(EmpTable[[#This Row],[Job Rate]] &lt;=1,"LOW",N355&lt;=2,"LOW",N355&lt;=3,"MEDIUM",N355&gt;4,"HIGH")</f>
        <v>MEDIUM</v>
      </c>
      <c r="P355">
        <v>0</v>
      </c>
      <c r="Q355">
        <v>0</v>
      </c>
      <c r="R355">
        <v>31</v>
      </c>
    </row>
    <row r="356" spans="1:18" x14ac:dyDescent="0.3">
      <c r="A356">
        <v>355</v>
      </c>
      <c r="B356" t="s">
        <v>302</v>
      </c>
      <c r="C356" t="s">
        <v>167</v>
      </c>
      <c r="D356" t="str">
        <f>_xlfn.CONCAT(EmpTable[[#This Row],[First Name]],EmpTable[[#This Row],[Last Name]])</f>
        <v>AmirAlkhatib</v>
      </c>
      <c r="E356" t="s">
        <v>32</v>
      </c>
      <c r="F356" s="1">
        <v>42974</v>
      </c>
      <c r="G356" s="2">
        <f ca="1">DATEDIF(EmpTable[[#This Row],[Start Date]],TODAY(),"Y")</f>
        <v>8</v>
      </c>
      <c r="H356" s="2" t="str" cm="1">
        <f t="array" aca="1" ref="H356" ca="1">_xlfn.IFS(G356&lt;=1,"Fresh",G356&lt;=3,"Junior",G356&lt;=7,"Teamlead",G356&gt;=7,"manger")</f>
        <v>manger</v>
      </c>
      <c r="I356" t="s">
        <v>41</v>
      </c>
      <c r="J356" t="s">
        <v>18</v>
      </c>
      <c r="K356" t="s">
        <v>19</v>
      </c>
      <c r="L356">
        <v>834</v>
      </c>
      <c r="M356">
        <v>10008</v>
      </c>
      <c r="N356">
        <v>2</v>
      </c>
      <c r="O356" t="str" cm="1">
        <f t="array" ref="O356">_xlfn.IFS(EmpTable[[#This Row],[Job Rate]] &lt;=1,"LOW",N356&lt;=2,"LOW",N356&lt;=3,"MEDIUM",N356&gt;4,"HIGH")</f>
        <v>LOW</v>
      </c>
      <c r="P356">
        <v>6</v>
      </c>
      <c r="Q356">
        <v>0</v>
      </c>
      <c r="R356">
        <v>13</v>
      </c>
    </row>
    <row r="357" spans="1:18" x14ac:dyDescent="0.3">
      <c r="A357">
        <v>356</v>
      </c>
      <c r="B357" t="s">
        <v>548</v>
      </c>
      <c r="C357" t="s">
        <v>549</v>
      </c>
      <c r="D357" t="str">
        <f>_xlfn.CONCAT(EmpTable[[#This Row],[First Name]],EmpTable[[#This Row],[Last Name]])</f>
        <v>SamirahJumea</v>
      </c>
      <c r="E357" t="s">
        <v>307</v>
      </c>
      <c r="F357" s="1">
        <v>43480</v>
      </c>
      <c r="G357" s="2">
        <f ca="1">DATEDIF(EmpTable[[#This Row],[Start Date]],TODAY(),"Y")</f>
        <v>7</v>
      </c>
      <c r="H357" s="2" t="str" cm="1">
        <f t="array" aca="1" ref="H357" ca="1">_xlfn.IFS(G357&lt;=1,"Fresh",G357&lt;=3,"Junior",G357&lt;=7,"Teamlead",G357&gt;=7,"manger")</f>
        <v>Teamlead</v>
      </c>
      <c r="I357" t="s">
        <v>17</v>
      </c>
      <c r="J357" t="s">
        <v>18</v>
      </c>
      <c r="K357" t="s">
        <v>42</v>
      </c>
      <c r="L357">
        <v>723</v>
      </c>
      <c r="M357">
        <v>8676</v>
      </c>
      <c r="N357">
        <v>3</v>
      </c>
      <c r="O357" t="str" cm="1">
        <f t="array" ref="O357">_xlfn.IFS(EmpTable[[#This Row],[Job Rate]] &lt;=1,"LOW",N357&lt;=2,"LOW",N357&lt;=3,"MEDIUM",N357&gt;4,"HIGH")</f>
        <v>MEDIUM</v>
      </c>
      <c r="P357">
        <v>0</v>
      </c>
      <c r="Q357">
        <v>0</v>
      </c>
      <c r="R357">
        <v>10</v>
      </c>
    </row>
    <row r="358" spans="1:18" x14ac:dyDescent="0.3">
      <c r="A358">
        <v>357</v>
      </c>
      <c r="B358" t="s">
        <v>69</v>
      </c>
      <c r="C358" t="s">
        <v>550</v>
      </c>
      <c r="D358" t="str">
        <f>_xlfn.CONCAT(EmpTable[[#This Row],[First Name]],EmpTable[[#This Row],[Last Name]])</f>
        <v>SamirAlhaj Ali</v>
      </c>
      <c r="E358" t="s">
        <v>32</v>
      </c>
      <c r="F358" s="1">
        <v>42504</v>
      </c>
      <c r="G358" s="2">
        <f ca="1">DATEDIF(EmpTable[[#This Row],[Start Date]],TODAY(),"Y")</f>
        <v>9</v>
      </c>
      <c r="H358" s="2" t="str" cm="1">
        <f t="array" aca="1" ref="H358" ca="1">_xlfn.IFS(G358&lt;=1,"Fresh",G358&lt;=3,"Junior",G358&lt;=7,"Teamlead",G358&gt;=7,"manger")</f>
        <v>manger</v>
      </c>
      <c r="I358" t="s">
        <v>77</v>
      </c>
      <c r="J358" t="s">
        <v>18</v>
      </c>
      <c r="K358" t="s">
        <v>19</v>
      </c>
      <c r="L358">
        <v>2807</v>
      </c>
      <c r="M358">
        <v>33684</v>
      </c>
      <c r="N358">
        <v>3</v>
      </c>
      <c r="O358" t="str" cm="1">
        <f t="array" ref="O358">_xlfn.IFS(EmpTable[[#This Row],[Job Rate]] &lt;=1,"LOW",N358&lt;=2,"LOW",N358&lt;=3,"MEDIUM",N358&gt;4,"HIGH")</f>
        <v>MEDIUM</v>
      </c>
      <c r="P358">
        <v>5</v>
      </c>
      <c r="Q358">
        <v>1</v>
      </c>
      <c r="R358">
        <v>2</v>
      </c>
    </row>
    <row r="359" spans="1:18" x14ac:dyDescent="0.3">
      <c r="A359">
        <v>358</v>
      </c>
      <c r="B359" t="s">
        <v>551</v>
      </c>
      <c r="C359" t="s">
        <v>552</v>
      </c>
      <c r="D359" t="str">
        <f>_xlfn.CONCAT(EmpTable[[#This Row],[First Name]],EmpTable[[#This Row],[Last Name]])</f>
        <v>FarialQulumih</v>
      </c>
      <c r="E359" t="s">
        <v>307</v>
      </c>
      <c r="F359" s="1">
        <v>42904</v>
      </c>
      <c r="G359" s="2">
        <f ca="1">DATEDIF(EmpTable[[#This Row],[Start Date]],TODAY(),"Y")</f>
        <v>8</v>
      </c>
      <c r="H359" s="2" t="str" cm="1">
        <f t="array" aca="1" ref="H359" ca="1">_xlfn.IFS(G359&lt;=1,"Fresh",G359&lt;=3,"Junior",G359&lt;=7,"Teamlead",G359&gt;=7,"manger")</f>
        <v>manger</v>
      </c>
      <c r="I359" t="s">
        <v>58</v>
      </c>
      <c r="J359" t="s">
        <v>22</v>
      </c>
      <c r="K359" t="s">
        <v>36</v>
      </c>
      <c r="L359">
        <v>1002</v>
      </c>
      <c r="M359">
        <v>12024</v>
      </c>
      <c r="N359">
        <v>5</v>
      </c>
      <c r="O359" t="str" cm="1">
        <f t="array" ref="O359">_xlfn.IFS(EmpTable[[#This Row],[Job Rate]] &lt;=1,"LOW",N359&lt;=2,"LOW",N359&lt;=3,"MEDIUM",N359&gt;4,"HIGH")</f>
        <v>HIGH</v>
      </c>
      <c r="P359">
        <v>1</v>
      </c>
      <c r="Q359">
        <v>0</v>
      </c>
      <c r="R359">
        <v>3</v>
      </c>
    </row>
    <row r="360" spans="1:18" x14ac:dyDescent="0.3">
      <c r="A360">
        <v>359</v>
      </c>
      <c r="B360" t="s">
        <v>341</v>
      </c>
      <c r="C360" t="s">
        <v>553</v>
      </c>
      <c r="D360" t="str">
        <f>_xlfn.CONCAT(EmpTable[[#This Row],[First Name]],EmpTable[[#This Row],[Last Name]])</f>
        <v>SalihDawara</v>
      </c>
      <c r="E360" t="s">
        <v>32</v>
      </c>
      <c r="F360" s="1">
        <v>44023</v>
      </c>
      <c r="G360" s="2">
        <f ca="1">DATEDIF(EmpTable[[#This Row],[Start Date]],TODAY(),"Y")</f>
        <v>5</v>
      </c>
      <c r="H360" s="2" t="str" cm="1">
        <f t="array" aca="1" ref="H360" ca="1">_xlfn.IFS(G360&lt;=1,"Fresh",G360&lt;=3,"Junior",G360&lt;=7,"Teamlead",G360&gt;=7,"manger")</f>
        <v>Teamlead</v>
      </c>
      <c r="I360" t="s">
        <v>118</v>
      </c>
      <c r="J360" t="s">
        <v>18</v>
      </c>
      <c r="K360" t="s">
        <v>19</v>
      </c>
      <c r="L360">
        <v>2265</v>
      </c>
      <c r="M360">
        <v>27180</v>
      </c>
      <c r="N360">
        <v>5</v>
      </c>
      <c r="O360" t="str" cm="1">
        <f t="array" ref="O360">_xlfn.IFS(EmpTable[[#This Row],[Job Rate]] &lt;=1,"LOW",N360&lt;=2,"LOW",N360&lt;=3,"MEDIUM",N360&gt;4,"HIGH")</f>
        <v>HIGH</v>
      </c>
      <c r="P360">
        <v>1</v>
      </c>
      <c r="Q360">
        <v>0</v>
      </c>
      <c r="R360">
        <v>9</v>
      </c>
    </row>
    <row r="361" spans="1:18" x14ac:dyDescent="0.3">
      <c r="A361">
        <v>360</v>
      </c>
      <c r="B361" t="s">
        <v>554</v>
      </c>
      <c r="C361" t="s">
        <v>66</v>
      </c>
      <c r="D361" t="str">
        <f>_xlfn.CONCAT(EmpTable[[#This Row],[First Name]],EmpTable[[#This Row],[Last Name]])</f>
        <v>AbdalhadiSalim</v>
      </c>
      <c r="E361" t="s">
        <v>32</v>
      </c>
      <c r="F361" s="1">
        <v>43753</v>
      </c>
      <c r="G361" s="2">
        <f ca="1">DATEDIF(EmpTable[[#This Row],[Start Date]],TODAY(),"Y")</f>
        <v>6</v>
      </c>
      <c r="H361" s="2" t="str" cm="1">
        <f t="array" aca="1" ref="H361" ca="1">_xlfn.IFS(G361&lt;=1,"Fresh",G361&lt;=3,"Junior",G361&lt;=7,"Teamlead",G361&gt;=7,"manger")</f>
        <v>Teamlead</v>
      </c>
      <c r="I361" t="s">
        <v>17</v>
      </c>
      <c r="J361" t="s">
        <v>18</v>
      </c>
      <c r="K361" t="s">
        <v>36</v>
      </c>
      <c r="L361">
        <v>3283</v>
      </c>
      <c r="M361">
        <v>39396</v>
      </c>
      <c r="N361">
        <v>5</v>
      </c>
      <c r="O361" t="str" cm="1">
        <f t="array" ref="O361">_xlfn.IFS(EmpTable[[#This Row],[Job Rate]] &lt;=1,"LOW",N361&lt;=2,"LOW",N361&lt;=3,"MEDIUM",N361&gt;4,"HIGH")</f>
        <v>HIGH</v>
      </c>
      <c r="P361">
        <v>0</v>
      </c>
      <c r="Q361">
        <v>0</v>
      </c>
      <c r="R361">
        <v>3</v>
      </c>
    </row>
    <row r="362" spans="1:18" x14ac:dyDescent="0.3">
      <c r="A362">
        <v>361</v>
      </c>
      <c r="B362" t="s">
        <v>305</v>
      </c>
      <c r="C362" t="s">
        <v>555</v>
      </c>
      <c r="D362" t="str">
        <f>_xlfn.CONCAT(EmpTable[[#This Row],[First Name]],EmpTable[[#This Row],[Last Name]])</f>
        <v>RuaaQahraman</v>
      </c>
      <c r="E362" t="s">
        <v>307</v>
      </c>
      <c r="F362" s="1">
        <v>43204</v>
      </c>
      <c r="G362" s="2">
        <f ca="1">DATEDIF(EmpTable[[#This Row],[Start Date]],TODAY(),"Y")</f>
        <v>7</v>
      </c>
      <c r="H362" s="2" t="str" cm="1">
        <f t="array" aca="1" ref="H362" ca="1">_xlfn.IFS(G362&lt;=1,"Fresh",G362&lt;=3,"Junior",G362&lt;=7,"Teamlead",G362&gt;=7,"manger")</f>
        <v>Teamlead</v>
      </c>
      <c r="I362" t="s">
        <v>77</v>
      </c>
      <c r="J362" t="s">
        <v>18</v>
      </c>
      <c r="K362" t="s">
        <v>36</v>
      </c>
      <c r="L362">
        <v>2675</v>
      </c>
      <c r="M362">
        <v>32100</v>
      </c>
      <c r="N362">
        <v>3</v>
      </c>
      <c r="O362" t="str" cm="1">
        <f t="array" ref="O362">_xlfn.IFS(EmpTable[[#This Row],[Job Rate]] &lt;=1,"LOW",N362&lt;=2,"LOW",N362&lt;=3,"MEDIUM",N362&gt;4,"HIGH")</f>
        <v>MEDIUM</v>
      </c>
      <c r="P362">
        <v>1</v>
      </c>
      <c r="Q362">
        <v>6</v>
      </c>
      <c r="R362">
        <v>4</v>
      </c>
    </row>
    <row r="363" spans="1:18" x14ac:dyDescent="0.3">
      <c r="A363">
        <v>362</v>
      </c>
      <c r="B363" t="s">
        <v>33</v>
      </c>
      <c r="C363" t="s">
        <v>556</v>
      </c>
      <c r="D363" t="str">
        <f>_xlfn.CONCAT(EmpTable[[#This Row],[First Name]],EmpTable[[#This Row],[Last Name]])</f>
        <v>MuhamadMshati</v>
      </c>
      <c r="E363" t="s">
        <v>32</v>
      </c>
      <c r="F363" s="1">
        <v>43481</v>
      </c>
      <c r="G363" s="2">
        <f ca="1">DATEDIF(EmpTable[[#This Row],[Start Date]],TODAY(),"Y")</f>
        <v>7</v>
      </c>
      <c r="H363" s="2" t="str" cm="1">
        <f t="array" aca="1" ref="H363" ca="1">_xlfn.IFS(G363&lt;=1,"Fresh",G363&lt;=3,"Junior",G363&lt;=7,"Teamlead",G363&gt;=7,"manger")</f>
        <v>Teamlead</v>
      </c>
      <c r="I363" t="s">
        <v>58</v>
      </c>
      <c r="J363" t="s">
        <v>29</v>
      </c>
      <c r="K363" t="s">
        <v>42</v>
      </c>
      <c r="L363">
        <v>3056</v>
      </c>
      <c r="M363">
        <v>36672</v>
      </c>
      <c r="N363">
        <v>4.5</v>
      </c>
      <c r="O363" t="str" cm="1">
        <f t="array" ref="O363">_xlfn.IFS(EmpTable[[#This Row],[Job Rate]] &lt;=1,"LOW",N363&lt;=2,"LOW",N363&lt;=3,"MEDIUM",N363&gt;4,"HIGH")</f>
        <v>HIGH</v>
      </c>
      <c r="P363">
        <v>0</v>
      </c>
      <c r="Q363">
        <v>0</v>
      </c>
      <c r="R363">
        <v>9</v>
      </c>
    </row>
    <row r="364" spans="1:18" x14ac:dyDescent="0.3">
      <c r="A364">
        <v>363</v>
      </c>
      <c r="B364" t="s">
        <v>129</v>
      </c>
      <c r="C364" t="s">
        <v>557</v>
      </c>
      <c r="D364" t="str">
        <f>_xlfn.CONCAT(EmpTable[[#This Row],[First Name]],EmpTable[[#This Row],[Last Name]])</f>
        <v>ShadiAltibae</v>
      </c>
      <c r="E364" t="s">
        <v>32</v>
      </c>
      <c r="F364" s="1">
        <v>43752</v>
      </c>
      <c r="G364" s="2">
        <f ca="1">DATEDIF(EmpTable[[#This Row],[Start Date]],TODAY(),"Y")</f>
        <v>6</v>
      </c>
      <c r="H364" s="2" t="str" cm="1">
        <f t="array" aca="1" ref="H364" ca="1">_xlfn.IFS(G364&lt;=1,"Fresh",G364&lt;=3,"Junior",G364&lt;=7,"Teamlead",G364&gt;=7,"manger")</f>
        <v>Teamlead</v>
      </c>
      <c r="I364" t="s">
        <v>28</v>
      </c>
      <c r="J364" t="s">
        <v>18</v>
      </c>
      <c r="K364" t="s">
        <v>19</v>
      </c>
      <c r="L364">
        <v>1579</v>
      </c>
      <c r="M364">
        <v>18948</v>
      </c>
      <c r="N364">
        <v>3</v>
      </c>
      <c r="O364" t="str" cm="1">
        <f t="array" ref="O364">_xlfn.IFS(EmpTable[[#This Row],[Job Rate]] &lt;=1,"LOW",N364&lt;=2,"LOW",N364&lt;=3,"MEDIUM",N364&gt;4,"HIGH")</f>
        <v>MEDIUM</v>
      </c>
      <c r="P364">
        <v>0</v>
      </c>
      <c r="Q364">
        <v>0</v>
      </c>
      <c r="R364">
        <v>14</v>
      </c>
    </row>
    <row r="365" spans="1:18" x14ac:dyDescent="0.3">
      <c r="A365">
        <v>364</v>
      </c>
      <c r="B365" t="s">
        <v>30</v>
      </c>
      <c r="C365" t="s">
        <v>558</v>
      </c>
      <c r="D365" t="str">
        <f>_xlfn.CONCAT(EmpTable[[#This Row],[First Name]],EmpTable[[#This Row],[Last Name]])</f>
        <v>AhmadIidlibi</v>
      </c>
      <c r="E365" t="s">
        <v>32</v>
      </c>
      <c r="F365" s="1">
        <v>43622</v>
      </c>
      <c r="G365" s="2">
        <f ca="1">DATEDIF(EmpTable[[#This Row],[Start Date]],TODAY(),"Y")</f>
        <v>6</v>
      </c>
      <c r="H365" s="2" t="str" cm="1">
        <f t="array" aca="1" ref="H365" ca="1">_xlfn.IFS(G365&lt;=1,"Fresh",G365&lt;=3,"Junior",G365&lt;=7,"Teamlead",G365&gt;=7,"manger")</f>
        <v>Teamlead</v>
      </c>
      <c r="I365" t="s">
        <v>58</v>
      </c>
      <c r="J365" t="s">
        <v>22</v>
      </c>
      <c r="K365" t="s">
        <v>898</v>
      </c>
      <c r="L365">
        <v>1255</v>
      </c>
      <c r="M365">
        <v>15060</v>
      </c>
      <c r="N365">
        <v>3</v>
      </c>
      <c r="O365" t="str" cm="1">
        <f t="array" ref="O365">_xlfn.IFS(EmpTable[[#This Row],[Job Rate]] &lt;=1,"LOW",N365&lt;=2,"LOW",N365&lt;=3,"MEDIUM",N365&gt;4,"HIGH")</f>
        <v>MEDIUM</v>
      </c>
      <c r="P365">
        <v>6</v>
      </c>
      <c r="Q365">
        <v>0</v>
      </c>
      <c r="R365">
        <v>0</v>
      </c>
    </row>
    <row r="366" spans="1:18" x14ac:dyDescent="0.3">
      <c r="A366">
        <v>365</v>
      </c>
      <c r="B366" t="s">
        <v>197</v>
      </c>
      <c r="C366" t="s">
        <v>559</v>
      </c>
      <c r="D366" t="str">
        <f>_xlfn.CONCAT(EmpTable[[#This Row],[First Name]],EmpTable[[#This Row],[Last Name]])</f>
        <v>FadiGhazzawi</v>
      </c>
      <c r="E366" t="s">
        <v>32</v>
      </c>
      <c r="F366" s="1">
        <v>43496</v>
      </c>
      <c r="G366" s="2">
        <f ca="1">DATEDIF(EmpTable[[#This Row],[Start Date]],TODAY(),"Y")</f>
        <v>7</v>
      </c>
      <c r="H366" s="2" t="str" cm="1">
        <f t="array" aca="1" ref="H366" ca="1">_xlfn.IFS(G366&lt;=1,"Fresh",G366&lt;=3,"Junior",G366&lt;=7,"Teamlead",G366&gt;=7,"manger")</f>
        <v>Teamlead</v>
      </c>
      <c r="I366" t="s">
        <v>17</v>
      </c>
      <c r="J366" t="s">
        <v>18</v>
      </c>
      <c r="K366" t="s">
        <v>898</v>
      </c>
      <c r="L366">
        <v>3418</v>
      </c>
      <c r="M366">
        <v>41016</v>
      </c>
      <c r="N366">
        <v>3</v>
      </c>
      <c r="O366" t="str" cm="1">
        <f t="array" ref="O366">_xlfn.IFS(EmpTable[[#This Row],[Job Rate]] &lt;=1,"LOW",N366&lt;=2,"LOW",N366&lt;=3,"MEDIUM",N366&gt;4,"HIGH")</f>
        <v>MEDIUM</v>
      </c>
      <c r="P366">
        <v>4</v>
      </c>
      <c r="Q366">
        <v>0</v>
      </c>
      <c r="R366">
        <v>1</v>
      </c>
    </row>
    <row r="367" spans="1:18" x14ac:dyDescent="0.3">
      <c r="A367">
        <v>366</v>
      </c>
      <c r="B367" t="s">
        <v>388</v>
      </c>
      <c r="C367" t="s">
        <v>560</v>
      </c>
      <c r="D367" t="str">
        <f>_xlfn.CONCAT(EmpTable[[#This Row],[First Name]],EmpTable[[#This Row],[Last Name]])</f>
        <v>BasilEabd Aleal</v>
      </c>
      <c r="E367" t="s">
        <v>32</v>
      </c>
      <c r="F367" s="1">
        <v>44165</v>
      </c>
      <c r="G367" s="2">
        <f ca="1">DATEDIF(EmpTable[[#This Row],[Start Date]],TODAY(),"Y")</f>
        <v>5</v>
      </c>
      <c r="H367" s="2" t="str" cm="1">
        <f t="array" aca="1" ref="H367" ca="1">_xlfn.IFS(G367&lt;=1,"Fresh",G367&lt;=3,"Junior",G367&lt;=7,"Teamlead",G367&gt;=7,"manger")</f>
        <v>Teamlead</v>
      </c>
      <c r="I367" t="s">
        <v>58</v>
      </c>
      <c r="J367" t="s">
        <v>18</v>
      </c>
      <c r="K367" t="s">
        <v>898</v>
      </c>
      <c r="L367">
        <v>3368</v>
      </c>
      <c r="M367">
        <v>40416</v>
      </c>
      <c r="N367">
        <v>3</v>
      </c>
      <c r="O367" t="str" cm="1">
        <f t="array" ref="O367">_xlfn.IFS(EmpTable[[#This Row],[Job Rate]] &lt;=1,"LOW",N367&lt;=2,"LOW",N367&lt;=3,"MEDIUM",N367&gt;4,"HIGH")</f>
        <v>MEDIUM</v>
      </c>
      <c r="P367">
        <v>0</v>
      </c>
      <c r="Q367">
        <v>0</v>
      </c>
      <c r="R367">
        <v>8</v>
      </c>
    </row>
    <row r="368" spans="1:18" x14ac:dyDescent="0.3">
      <c r="A368">
        <v>367</v>
      </c>
      <c r="B368" t="s">
        <v>561</v>
      </c>
      <c r="C368" t="s">
        <v>562</v>
      </c>
      <c r="D368" t="str">
        <f>_xlfn.CONCAT(EmpTable[[#This Row],[First Name]],EmpTable[[#This Row],[Last Name]])</f>
        <v>SaliMusuh</v>
      </c>
      <c r="E368" t="s">
        <v>307</v>
      </c>
      <c r="F368" s="1">
        <v>43784</v>
      </c>
      <c r="G368" s="2">
        <f ca="1">DATEDIF(EmpTable[[#This Row],[Start Date]],TODAY(),"Y")</f>
        <v>6</v>
      </c>
      <c r="H368" s="2" t="str" cm="1">
        <f t="array" aca="1" ref="H368" ca="1">_xlfn.IFS(G368&lt;=1,"Fresh",G368&lt;=3,"Junior",G368&lt;=7,"Teamlead",G368&gt;=7,"manger")</f>
        <v>Teamlead</v>
      </c>
      <c r="I368" t="s">
        <v>45</v>
      </c>
      <c r="J368" t="s">
        <v>29</v>
      </c>
      <c r="K368" t="s">
        <v>36</v>
      </c>
      <c r="L368">
        <v>3275</v>
      </c>
      <c r="M368">
        <v>39300</v>
      </c>
      <c r="N368">
        <v>3</v>
      </c>
      <c r="O368" t="str" cm="1">
        <f t="array" ref="O368">_xlfn.IFS(EmpTable[[#This Row],[Job Rate]] &lt;=1,"LOW",N368&lt;=2,"LOW",N368&lt;=3,"MEDIUM",N368&gt;4,"HIGH")</f>
        <v>MEDIUM</v>
      </c>
      <c r="P368">
        <v>1</v>
      </c>
      <c r="Q368">
        <v>2</v>
      </c>
      <c r="R368">
        <v>12</v>
      </c>
    </row>
    <row r="369" spans="1:18" x14ac:dyDescent="0.3">
      <c r="A369">
        <v>368</v>
      </c>
      <c r="B369" t="s">
        <v>59</v>
      </c>
      <c r="C369" t="s">
        <v>370</v>
      </c>
      <c r="D369" t="str">
        <f>_xlfn.CONCAT(EmpTable[[#This Row],[First Name]],EmpTable[[#This Row],[Last Name]])</f>
        <v>AlaaIismaeil</v>
      </c>
      <c r="E369" t="s">
        <v>307</v>
      </c>
      <c r="F369" s="1">
        <v>44192</v>
      </c>
      <c r="G369" s="2">
        <f ca="1">DATEDIF(EmpTable[[#This Row],[Start Date]],TODAY(),"Y")</f>
        <v>5</v>
      </c>
      <c r="H369" s="2" t="str" cm="1">
        <f t="array" aca="1" ref="H369" ca="1">_xlfn.IFS(G369&lt;=1,"Fresh",G369&lt;=3,"Junior",G369&lt;=7,"Teamlead",G369&gt;=7,"manger")</f>
        <v>Teamlead</v>
      </c>
      <c r="I369" t="s">
        <v>50</v>
      </c>
      <c r="J369" t="s">
        <v>29</v>
      </c>
      <c r="K369" t="s">
        <v>19</v>
      </c>
      <c r="L369">
        <v>3043</v>
      </c>
      <c r="M369">
        <v>36516</v>
      </c>
      <c r="N369">
        <v>2</v>
      </c>
      <c r="O369" t="str" cm="1">
        <f t="array" ref="O369">_xlfn.IFS(EmpTable[[#This Row],[Job Rate]] &lt;=1,"LOW",N369&lt;=2,"LOW",N369&lt;=3,"MEDIUM",N369&gt;4,"HIGH")</f>
        <v>LOW</v>
      </c>
      <c r="P369">
        <v>0</v>
      </c>
      <c r="Q369">
        <v>0</v>
      </c>
      <c r="R369">
        <v>8</v>
      </c>
    </row>
    <row r="370" spans="1:18" x14ac:dyDescent="0.3">
      <c r="A370">
        <v>369</v>
      </c>
      <c r="B370" t="s">
        <v>563</v>
      </c>
      <c r="C370" t="s">
        <v>564</v>
      </c>
      <c r="D370" t="str">
        <f>_xlfn.CONCAT(EmpTable[[#This Row],[First Name]],EmpTable[[#This Row],[Last Name]])</f>
        <v>MariaAlhizae</v>
      </c>
      <c r="E370" t="s">
        <v>307</v>
      </c>
      <c r="F370" s="1">
        <v>43803</v>
      </c>
      <c r="G370" s="2">
        <f ca="1">DATEDIF(EmpTable[[#This Row],[Start Date]],TODAY(),"Y")</f>
        <v>6</v>
      </c>
      <c r="H370" s="2" t="str" cm="1">
        <f t="array" aca="1" ref="H370" ca="1">_xlfn.IFS(G370&lt;=1,"Fresh",G370&lt;=3,"Junior",G370&lt;=7,"Teamlead",G370&gt;=7,"manger")</f>
        <v>Teamlead</v>
      </c>
      <c r="I370" t="s">
        <v>118</v>
      </c>
      <c r="J370" t="s">
        <v>294</v>
      </c>
      <c r="K370" t="s">
        <v>36</v>
      </c>
      <c r="L370">
        <v>1122</v>
      </c>
      <c r="M370">
        <v>13464</v>
      </c>
      <c r="N370">
        <v>4.5</v>
      </c>
      <c r="O370" t="str" cm="1">
        <f t="array" ref="O370">_xlfn.IFS(EmpTable[[#This Row],[Job Rate]] &lt;=1,"LOW",N370&lt;=2,"LOW",N370&lt;=3,"MEDIUM",N370&gt;4,"HIGH")</f>
        <v>HIGH</v>
      </c>
      <c r="P370">
        <v>2</v>
      </c>
      <c r="Q370">
        <v>4</v>
      </c>
      <c r="R370">
        <v>7</v>
      </c>
    </row>
    <row r="371" spans="1:18" x14ac:dyDescent="0.3">
      <c r="A371">
        <v>370</v>
      </c>
      <c r="B371" t="s">
        <v>288</v>
      </c>
      <c r="C371" t="s">
        <v>565</v>
      </c>
      <c r="D371" t="str">
        <f>_xlfn.CONCAT(EmpTable[[#This Row],[First Name]],EmpTable[[#This Row],[Last Name]])</f>
        <v>GhazalAlghan</v>
      </c>
      <c r="E371" t="s">
        <v>307</v>
      </c>
      <c r="F371" s="1">
        <v>43183</v>
      </c>
      <c r="G371" s="2">
        <f ca="1">DATEDIF(EmpTable[[#This Row],[Start Date]],TODAY(),"Y")</f>
        <v>8</v>
      </c>
      <c r="H371" s="2" t="str" cm="1">
        <f t="array" aca="1" ref="H371" ca="1">_xlfn.IFS(G371&lt;=1,"Fresh",G371&lt;=3,"Junior",G371&lt;=7,"Teamlead",G371&gt;=7,"manger")</f>
        <v>manger</v>
      </c>
      <c r="I371" t="s">
        <v>28</v>
      </c>
      <c r="J371" t="s">
        <v>18</v>
      </c>
      <c r="K371" t="s">
        <v>42</v>
      </c>
      <c r="L371">
        <v>764</v>
      </c>
      <c r="M371">
        <v>9168</v>
      </c>
      <c r="N371">
        <v>5</v>
      </c>
      <c r="O371" t="str" cm="1">
        <f t="array" ref="O371">_xlfn.IFS(EmpTable[[#This Row],[Job Rate]] &lt;=1,"LOW",N371&lt;=2,"LOW",N371&lt;=3,"MEDIUM",N371&gt;4,"HIGH")</f>
        <v>HIGH</v>
      </c>
      <c r="P371">
        <v>4</v>
      </c>
      <c r="Q371">
        <v>1</v>
      </c>
      <c r="R371">
        <v>13</v>
      </c>
    </row>
    <row r="372" spans="1:18" x14ac:dyDescent="0.3">
      <c r="A372">
        <v>371</v>
      </c>
      <c r="B372" t="s">
        <v>89</v>
      </c>
      <c r="C372" t="s">
        <v>566</v>
      </c>
      <c r="D372" t="str">
        <f>_xlfn.CONCAT(EmpTable[[#This Row],[First Name]],EmpTable[[#This Row],[Last Name]])</f>
        <v>EalaMitri</v>
      </c>
      <c r="E372" t="s">
        <v>307</v>
      </c>
      <c r="F372" s="1">
        <v>43498</v>
      </c>
      <c r="G372" s="2">
        <f ca="1">DATEDIF(EmpTable[[#This Row],[Start Date]],TODAY(),"Y")</f>
        <v>7</v>
      </c>
      <c r="H372" s="2" t="str" cm="1">
        <f t="array" aca="1" ref="H372" ca="1">_xlfn.IFS(G372&lt;=1,"Fresh",G372&lt;=3,"Junior",G372&lt;=7,"Teamlead",G372&gt;=7,"manger")</f>
        <v>Teamlead</v>
      </c>
      <c r="I372" t="s">
        <v>41</v>
      </c>
      <c r="J372" t="s">
        <v>22</v>
      </c>
      <c r="K372" t="s">
        <v>36</v>
      </c>
      <c r="L372">
        <v>2879</v>
      </c>
      <c r="M372">
        <v>34548</v>
      </c>
      <c r="N372">
        <v>2</v>
      </c>
      <c r="O372" t="str" cm="1">
        <f t="array" ref="O372">_xlfn.IFS(EmpTable[[#This Row],[Job Rate]] &lt;=1,"LOW",N372&lt;=2,"LOW",N372&lt;=3,"MEDIUM",N372&gt;4,"HIGH")</f>
        <v>LOW</v>
      </c>
      <c r="P372">
        <v>0</v>
      </c>
      <c r="Q372">
        <v>0</v>
      </c>
      <c r="R372">
        <v>8</v>
      </c>
    </row>
    <row r="373" spans="1:18" x14ac:dyDescent="0.3">
      <c r="A373">
        <v>372</v>
      </c>
      <c r="B373" t="s">
        <v>33</v>
      </c>
      <c r="C373" t="s">
        <v>567</v>
      </c>
      <c r="D373" t="str">
        <f>_xlfn.CONCAT(EmpTable[[#This Row],[First Name]],EmpTable[[#This Row],[Last Name]])</f>
        <v>MuhamadAleliwi</v>
      </c>
      <c r="E373" t="s">
        <v>32</v>
      </c>
      <c r="F373" s="1">
        <v>43886</v>
      </c>
      <c r="G373" s="2">
        <f ca="1">DATEDIF(EmpTable[[#This Row],[Start Date]],TODAY(),"Y")</f>
        <v>6</v>
      </c>
      <c r="H373" s="2" t="str" cm="1">
        <f t="array" aca="1" ref="H373" ca="1">_xlfn.IFS(G373&lt;=1,"Fresh",G373&lt;=3,"Junior",G373&lt;=7,"Teamlead",G373&gt;=7,"manger")</f>
        <v>Teamlead</v>
      </c>
      <c r="I373" t="s">
        <v>28</v>
      </c>
      <c r="J373" t="s">
        <v>29</v>
      </c>
      <c r="K373" t="s">
        <v>19</v>
      </c>
      <c r="L373">
        <v>2252</v>
      </c>
      <c r="M373">
        <v>27024</v>
      </c>
      <c r="N373">
        <v>3</v>
      </c>
      <c r="O373" t="str" cm="1">
        <f t="array" ref="O373">_xlfn.IFS(EmpTable[[#This Row],[Job Rate]] &lt;=1,"LOW",N373&lt;=2,"LOW",N373&lt;=3,"MEDIUM",N373&gt;4,"HIGH")</f>
        <v>MEDIUM</v>
      </c>
      <c r="P373">
        <v>1</v>
      </c>
      <c r="Q373">
        <v>0</v>
      </c>
      <c r="R373">
        <v>50</v>
      </c>
    </row>
    <row r="374" spans="1:18" x14ac:dyDescent="0.3">
      <c r="A374">
        <v>373</v>
      </c>
      <c r="B374" t="s">
        <v>30</v>
      </c>
      <c r="C374" t="s">
        <v>142</v>
      </c>
      <c r="D374" t="str">
        <f>_xlfn.CONCAT(EmpTable[[#This Row],[First Name]],EmpTable[[#This Row],[Last Name]])</f>
        <v>AhmadAlmisri</v>
      </c>
      <c r="E374" t="s">
        <v>32</v>
      </c>
      <c r="F374" s="1">
        <v>43413</v>
      </c>
      <c r="G374" s="2">
        <f ca="1">DATEDIF(EmpTable[[#This Row],[Start Date]],TODAY(),"Y")</f>
        <v>7</v>
      </c>
      <c r="H374" s="2" t="str" cm="1">
        <f t="array" aca="1" ref="H374" ca="1">_xlfn.IFS(G374&lt;=1,"Fresh",G374&lt;=3,"Junior",G374&lt;=7,"Teamlead",G374&gt;=7,"manger")</f>
        <v>Teamlead</v>
      </c>
      <c r="I374" t="s">
        <v>35</v>
      </c>
      <c r="J374" t="s">
        <v>29</v>
      </c>
      <c r="K374" t="s">
        <v>60</v>
      </c>
      <c r="L374">
        <v>2149</v>
      </c>
      <c r="M374">
        <v>25788</v>
      </c>
      <c r="N374">
        <v>3</v>
      </c>
      <c r="O374" t="str" cm="1">
        <f t="array" ref="O374">_xlfn.IFS(EmpTable[[#This Row],[Job Rate]] &lt;=1,"LOW",N374&lt;=2,"LOW",N374&lt;=3,"MEDIUM",N374&gt;4,"HIGH")</f>
        <v>MEDIUM</v>
      </c>
      <c r="P374">
        <v>0</v>
      </c>
      <c r="Q374">
        <v>0</v>
      </c>
      <c r="R374">
        <v>1</v>
      </c>
    </row>
    <row r="375" spans="1:18" x14ac:dyDescent="0.3">
      <c r="A375">
        <v>374</v>
      </c>
      <c r="B375" t="s">
        <v>30</v>
      </c>
      <c r="C375" t="s">
        <v>568</v>
      </c>
      <c r="D375" t="str">
        <f>_xlfn.CONCAT(EmpTable[[#This Row],[First Name]],EmpTable[[#This Row],[Last Name]])</f>
        <v>AhmadAldwltali</v>
      </c>
      <c r="E375" t="s">
        <v>32</v>
      </c>
      <c r="F375" s="1">
        <v>43777</v>
      </c>
      <c r="G375" s="2">
        <f ca="1">DATEDIF(EmpTable[[#This Row],[Start Date]],TODAY(),"Y")</f>
        <v>6</v>
      </c>
      <c r="H375" s="2" t="str" cm="1">
        <f t="array" aca="1" ref="H375" ca="1">_xlfn.IFS(G375&lt;=1,"Fresh",G375&lt;=3,"Junior",G375&lt;=7,"Teamlead",G375&gt;=7,"manger")</f>
        <v>Teamlead</v>
      </c>
      <c r="I375" t="s">
        <v>200</v>
      </c>
      <c r="J375" t="s">
        <v>29</v>
      </c>
      <c r="K375" t="s">
        <v>42</v>
      </c>
      <c r="L375">
        <v>2428</v>
      </c>
      <c r="M375">
        <v>29136</v>
      </c>
      <c r="N375">
        <v>5</v>
      </c>
      <c r="O375" t="str" cm="1">
        <f t="array" ref="O375">_xlfn.IFS(EmpTable[[#This Row],[Job Rate]] &lt;=1,"LOW",N375&lt;=2,"LOW",N375&lt;=3,"MEDIUM",N375&gt;4,"HIGH")</f>
        <v>HIGH</v>
      </c>
      <c r="P375">
        <v>0</v>
      </c>
      <c r="Q375">
        <v>0</v>
      </c>
      <c r="R375">
        <v>35</v>
      </c>
    </row>
    <row r="376" spans="1:18" x14ac:dyDescent="0.3">
      <c r="A376">
        <v>375</v>
      </c>
      <c r="B376" t="s">
        <v>33</v>
      </c>
      <c r="C376" t="s">
        <v>569</v>
      </c>
      <c r="D376" t="str">
        <f>_xlfn.CONCAT(EmpTable[[#This Row],[First Name]],EmpTable[[#This Row],[Last Name]])</f>
        <v>MuhamadUdib</v>
      </c>
      <c r="E376" t="s">
        <v>32</v>
      </c>
      <c r="F376" s="1">
        <v>43750</v>
      </c>
      <c r="G376" s="2">
        <f ca="1">DATEDIF(EmpTable[[#This Row],[Start Date]],TODAY(),"Y")</f>
        <v>6</v>
      </c>
      <c r="H376" s="2" t="str" cm="1">
        <f t="array" aca="1" ref="H376" ca="1">_xlfn.IFS(G376&lt;=1,"Fresh",G376&lt;=3,"Junior",G376&lt;=7,"Teamlead",G376&gt;=7,"manger")</f>
        <v>Teamlead</v>
      </c>
      <c r="I376" t="s">
        <v>28</v>
      </c>
      <c r="J376" t="s">
        <v>18</v>
      </c>
      <c r="K376" t="s">
        <v>42</v>
      </c>
      <c r="L376">
        <v>3240</v>
      </c>
      <c r="M376">
        <v>38880</v>
      </c>
      <c r="N376">
        <v>5</v>
      </c>
      <c r="O376" t="str" cm="1">
        <f t="array" ref="O376">_xlfn.IFS(EmpTable[[#This Row],[Job Rate]] &lt;=1,"LOW",N376&lt;=2,"LOW",N376&lt;=3,"MEDIUM",N376&gt;4,"HIGH")</f>
        <v>HIGH</v>
      </c>
      <c r="P376">
        <v>0</v>
      </c>
      <c r="Q376">
        <v>0</v>
      </c>
      <c r="R376">
        <v>6</v>
      </c>
    </row>
    <row r="377" spans="1:18" x14ac:dyDescent="0.3">
      <c r="A377">
        <v>376</v>
      </c>
      <c r="B377" t="s">
        <v>59</v>
      </c>
      <c r="C377" t="s">
        <v>570</v>
      </c>
      <c r="D377" t="str">
        <f>_xlfn.CONCAT(EmpTable[[#This Row],[First Name]],EmpTable[[#This Row],[Last Name]])</f>
        <v>AlaaYuzbik</v>
      </c>
      <c r="E377" t="s">
        <v>307</v>
      </c>
      <c r="F377" s="1">
        <v>43170</v>
      </c>
      <c r="G377" s="2">
        <f ca="1">DATEDIF(EmpTable[[#This Row],[Start Date]],TODAY(),"Y")</f>
        <v>8</v>
      </c>
      <c r="H377" s="2" t="str" cm="1">
        <f t="array" aca="1" ref="H377" ca="1">_xlfn.IFS(G377&lt;=1,"Fresh",G377&lt;=3,"Junior",G377&lt;=7,"Teamlead",G377&gt;=7,"manger")</f>
        <v>manger</v>
      </c>
      <c r="I377" t="s">
        <v>41</v>
      </c>
      <c r="J377" t="s">
        <v>18</v>
      </c>
      <c r="K377" t="s">
        <v>898</v>
      </c>
      <c r="L377">
        <v>1448</v>
      </c>
      <c r="M377">
        <v>17376</v>
      </c>
      <c r="N377">
        <v>3</v>
      </c>
      <c r="O377" t="str" cm="1">
        <f t="array" ref="O377">_xlfn.IFS(EmpTable[[#This Row],[Job Rate]] &lt;=1,"LOW",N377&lt;=2,"LOW",N377&lt;=3,"MEDIUM",N377&gt;4,"HIGH")</f>
        <v>MEDIUM</v>
      </c>
      <c r="P377">
        <v>4</v>
      </c>
      <c r="Q377">
        <v>0</v>
      </c>
      <c r="R377">
        <v>10</v>
      </c>
    </row>
    <row r="378" spans="1:18" x14ac:dyDescent="0.3">
      <c r="A378">
        <v>377</v>
      </c>
      <c r="B378" t="s">
        <v>64</v>
      </c>
      <c r="C378" t="s">
        <v>571</v>
      </c>
      <c r="D378" t="str">
        <f>_xlfn.CONCAT(EmpTable[[#This Row],[First Name]],EmpTable[[#This Row],[Last Name]])</f>
        <v>HusaynZaerur</v>
      </c>
      <c r="E378" t="s">
        <v>32</v>
      </c>
      <c r="F378" s="1">
        <v>44044</v>
      </c>
      <c r="G378" s="2">
        <f ca="1">DATEDIF(EmpTable[[#This Row],[Start Date]],TODAY(),"Y")</f>
        <v>5</v>
      </c>
      <c r="H378" s="2" t="str" cm="1">
        <f t="array" aca="1" ref="H378" ca="1">_xlfn.IFS(G378&lt;=1,"Fresh",G378&lt;=3,"Junior",G378&lt;=7,"Teamlead",G378&gt;=7,"manger")</f>
        <v>Teamlead</v>
      </c>
      <c r="I378" t="s">
        <v>28</v>
      </c>
      <c r="J378" t="s">
        <v>18</v>
      </c>
      <c r="K378" t="s">
        <v>898</v>
      </c>
      <c r="L378">
        <v>2409</v>
      </c>
      <c r="M378">
        <v>28908</v>
      </c>
      <c r="N378">
        <v>3</v>
      </c>
      <c r="O378" t="str" cm="1">
        <f t="array" ref="O378">_xlfn.IFS(EmpTable[[#This Row],[Job Rate]] &lt;=1,"LOW",N378&lt;=2,"LOW",N378&lt;=3,"MEDIUM",N378&gt;4,"HIGH")</f>
        <v>MEDIUM</v>
      </c>
      <c r="P378">
        <v>3</v>
      </c>
      <c r="Q378">
        <v>3</v>
      </c>
      <c r="R378">
        <v>3</v>
      </c>
    </row>
    <row r="379" spans="1:18" x14ac:dyDescent="0.3">
      <c r="A379">
        <v>378</v>
      </c>
      <c r="B379" t="s">
        <v>335</v>
      </c>
      <c r="C379" t="s">
        <v>572</v>
      </c>
      <c r="D379" t="str">
        <f>_xlfn.CONCAT(EmpTable[[#This Row],[First Name]],EmpTable[[#This Row],[Last Name]])</f>
        <v>SaeidMazlum</v>
      </c>
      <c r="E379" t="s">
        <v>32</v>
      </c>
      <c r="F379" s="1">
        <v>43741</v>
      </c>
      <c r="G379" s="2">
        <f ca="1">DATEDIF(EmpTable[[#This Row],[Start Date]],TODAY(),"Y")</f>
        <v>6</v>
      </c>
      <c r="H379" s="2" t="str" cm="1">
        <f t="array" aca="1" ref="H379" ca="1">_xlfn.IFS(G379&lt;=1,"Fresh",G379&lt;=3,"Junior",G379&lt;=7,"Teamlead",G379&gt;=7,"manger")</f>
        <v>Teamlead</v>
      </c>
      <c r="I379" t="s">
        <v>88</v>
      </c>
      <c r="J379" t="s">
        <v>29</v>
      </c>
      <c r="K379" t="s">
        <v>60</v>
      </c>
      <c r="L379">
        <v>3030</v>
      </c>
      <c r="M379">
        <v>36360</v>
      </c>
      <c r="N379">
        <v>2</v>
      </c>
      <c r="O379" t="str" cm="1">
        <f t="array" ref="O379">_xlfn.IFS(EmpTable[[#This Row],[Job Rate]] &lt;=1,"LOW",N379&lt;=2,"LOW",N379&lt;=3,"MEDIUM",N379&gt;4,"HIGH")</f>
        <v>LOW</v>
      </c>
      <c r="P379">
        <v>6</v>
      </c>
      <c r="Q379">
        <v>0</v>
      </c>
      <c r="R379">
        <v>5</v>
      </c>
    </row>
    <row r="380" spans="1:18" x14ac:dyDescent="0.3">
      <c r="A380">
        <v>379</v>
      </c>
      <c r="B380" t="s">
        <v>30</v>
      </c>
      <c r="C380" t="s">
        <v>573</v>
      </c>
      <c r="D380" t="str">
        <f>_xlfn.CONCAT(EmpTable[[#This Row],[First Name]],EmpTable[[#This Row],[Last Name]])</f>
        <v>AhmadAlghurani</v>
      </c>
      <c r="E380" t="s">
        <v>32</v>
      </c>
      <c r="F380" s="1">
        <v>44092</v>
      </c>
      <c r="G380" s="2">
        <f ca="1">DATEDIF(EmpTable[[#This Row],[Start Date]],TODAY(),"Y")</f>
        <v>5</v>
      </c>
      <c r="H380" s="2" t="str" cm="1">
        <f t="array" aca="1" ref="H380" ca="1">_xlfn.IFS(G380&lt;=1,"Fresh",G380&lt;=3,"Junior",G380&lt;=7,"Teamlead",G380&gt;=7,"manger")</f>
        <v>Teamlead</v>
      </c>
      <c r="I380" t="s">
        <v>28</v>
      </c>
      <c r="J380" t="s">
        <v>29</v>
      </c>
      <c r="K380" t="s">
        <v>36</v>
      </c>
      <c r="L380">
        <v>2544</v>
      </c>
      <c r="M380">
        <v>30528</v>
      </c>
      <c r="N380">
        <v>5</v>
      </c>
      <c r="O380" t="str" cm="1">
        <f t="array" ref="O380">_xlfn.IFS(EmpTable[[#This Row],[Job Rate]] &lt;=1,"LOW",N380&lt;=2,"LOW",N380&lt;=3,"MEDIUM",N380&gt;4,"HIGH")</f>
        <v>HIGH</v>
      </c>
      <c r="P380">
        <v>0</v>
      </c>
      <c r="Q380">
        <v>0</v>
      </c>
      <c r="R380">
        <v>11</v>
      </c>
    </row>
    <row r="381" spans="1:18" x14ac:dyDescent="0.3">
      <c r="A381">
        <v>380</v>
      </c>
      <c r="B381" t="s">
        <v>574</v>
      </c>
      <c r="C381" t="s">
        <v>30</v>
      </c>
      <c r="D381" t="str">
        <f>_xlfn.CONCAT(EmpTable[[#This Row],[First Name]],EmpTable[[#This Row],[Last Name]])</f>
        <v>Abd AlsamadAhmad</v>
      </c>
      <c r="E381" t="s">
        <v>32</v>
      </c>
      <c r="F381" s="1">
        <v>42778</v>
      </c>
      <c r="G381" s="2">
        <f ca="1">DATEDIF(EmpTable[[#This Row],[Start Date]],TODAY(),"Y")</f>
        <v>9</v>
      </c>
      <c r="H381" s="2" t="str" cm="1">
        <f t="array" aca="1" ref="H381" ca="1">_xlfn.IFS(G381&lt;=1,"Fresh",G381&lt;=3,"Junior",G381&lt;=7,"Teamlead",G381&gt;=7,"manger")</f>
        <v>manger</v>
      </c>
      <c r="I381" t="s">
        <v>53</v>
      </c>
      <c r="J381" t="s">
        <v>18</v>
      </c>
      <c r="K381" t="s">
        <v>19</v>
      </c>
      <c r="L381">
        <v>2872</v>
      </c>
      <c r="M381">
        <v>34464</v>
      </c>
      <c r="N381">
        <v>4.5</v>
      </c>
      <c r="O381" t="str" cm="1">
        <f t="array" ref="O381">_xlfn.IFS(EmpTable[[#This Row],[Job Rate]] &lt;=1,"LOW",N381&lt;=2,"LOW",N381&lt;=3,"MEDIUM",N381&gt;4,"HIGH")</f>
        <v>HIGH</v>
      </c>
      <c r="P381">
        <v>5</v>
      </c>
      <c r="Q381">
        <v>0</v>
      </c>
      <c r="R381">
        <v>7</v>
      </c>
    </row>
    <row r="382" spans="1:18" x14ac:dyDescent="0.3">
      <c r="A382">
        <v>381</v>
      </c>
      <c r="B382" t="s">
        <v>302</v>
      </c>
      <c r="C382" t="s">
        <v>575</v>
      </c>
      <c r="D382" t="str">
        <f>_xlfn.CONCAT(EmpTable[[#This Row],[First Name]],EmpTable[[#This Row],[Last Name]])</f>
        <v>AmirAlhasan</v>
      </c>
      <c r="E382" t="s">
        <v>32</v>
      </c>
      <c r="F382" s="1">
        <v>43468</v>
      </c>
      <c r="G382" s="2">
        <f ca="1">DATEDIF(EmpTable[[#This Row],[Start Date]],TODAY(),"Y")</f>
        <v>7</v>
      </c>
      <c r="H382" s="2" t="str" cm="1">
        <f t="array" aca="1" ref="H382" ca="1">_xlfn.IFS(G382&lt;=1,"Fresh",G382&lt;=3,"Junior",G382&lt;=7,"Teamlead",G382&gt;=7,"manger")</f>
        <v>Teamlead</v>
      </c>
      <c r="I382" t="s">
        <v>35</v>
      </c>
      <c r="J382" t="s">
        <v>18</v>
      </c>
      <c r="K382" t="s">
        <v>60</v>
      </c>
      <c r="L382">
        <v>2263</v>
      </c>
      <c r="M382">
        <v>27156</v>
      </c>
      <c r="N382">
        <v>4.5</v>
      </c>
      <c r="O382" t="str" cm="1">
        <f t="array" ref="O382">_xlfn.IFS(EmpTable[[#This Row],[Job Rate]] &lt;=1,"LOW",N382&lt;=2,"LOW",N382&lt;=3,"MEDIUM",N382&gt;4,"HIGH")</f>
        <v>HIGH</v>
      </c>
      <c r="P382">
        <v>0</v>
      </c>
      <c r="Q382">
        <v>0</v>
      </c>
      <c r="R382">
        <v>8</v>
      </c>
    </row>
    <row r="383" spans="1:18" x14ac:dyDescent="0.3">
      <c r="A383">
        <v>382</v>
      </c>
      <c r="B383" t="s">
        <v>59</v>
      </c>
      <c r="C383" t="s">
        <v>576</v>
      </c>
      <c r="D383" t="str">
        <f>_xlfn.CONCAT(EmpTable[[#This Row],[First Name]],EmpTable[[#This Row],[Last Name]])</f>
        <v>AlaaAltahhan</v>
      </c>
      <c r="E383" t="s">
        <v>307</v>
      </c>
      <c r="F383" s="1">
        <v>43704</v>
      </c>
      <c r="G383" s="2">
        <f ca="1">DATEDIF(EmpTable[[#This Row],[Start Date]],TODAY(),"Y")</f>
        <v>6</v>
      </c>
      <c r="H383" s="2" t="str" cm="1">
        <f t="array" aca="1" ref="H383" ca="1">_xlfn.IFS(G383&lt;=1,"Fresh",G383&lt;=3,"Junior",G383&lt;=7,"Teamlead",G383&gt;=7,"manger")</f>
        <v>Teamlead</v>
      </c>
      <c r="I383" t="s">
        <v>17</v>
      </c>
      <c r="J383" t="s">
        <v>29</v>
      </c>
      <c r="K383" t="s">
        <v>898</v>
      </c>
      <c r="L383">
        <v>2136</v>
      </c>
      <c r="M383">
        <v>25632</v>
      </c>
      <c r="N383">
        <v>5</v>
      </c>
      <c r="O383" t="str" cm="1">
        <f t="array" ref="O383">_xlfn.IFS(EmpTable[[#This Row],[Job Rate]] &lt;=1,"LOW",N383&lt;=2,"LOW",N383&lt;=3,"MEDIUM",N383&gt;4,"HIGH")</f>
        <v>HIGH</v>
      </c>
      <c r="P383">
        <v>4</v>
      </c>
      <c r="Q383">
        <v>0</v>
      </c>
      <c r="R383">
        <v>12</v>
      </c>
    </row>
    <row r="384" spans="1:18" x14ac:dyDescent="0.3">
      <c r="A384">
        <v>383</v>
      </c>
      <c r="B384" t="s">
        <v>49</v>
      </c>
      <c r="C384" t="s">
        <v>577</v>
      </c>
      <c r="D384" t="str">
        <f>_xlfn.CONCAT(EmpTable[[#This Row],[First Name]],EmpTable[[#This Row],[Last Name]])</f>
        <v>IadMahfud</v>
      </c>
      <c r="E384" t="s">
        <v>32</v>
      </c>
      <c r="F384" s="1">
        <v>42940</v>
      </c>
      <c r="G384" s="2">
        <f ca="1">DATEDIF(EmpTable[[#This Row],[Start Date]],TODAY(),"Y")</f>
        <v>8</v>
      </c>
      <c r="H384" s="2" t="str" cm="1">
        <f t="array" aca="1" ref="H384" ca="1">_xlfn.IFS(G384&lt;=1,"Fresh",G384&lt;=3,"Junior",G384&lt;=7,"Teamlead",G384&gt;=7,"manger")</f>
        <v>manger</v>
      </c>
      <c r="I384" t="s">
        <v>28</v>
      </c>
      <c r="J384" t="s">
        <v>18</v>
      </c>
      <c r="K384" t="s">
        <v>42</v>
      </c>
      <c r="L384">
        <v>2379</v>
      </c>
      <c r="M384">
        <v>28548</v>
      </c>
      <c r="N384">
        <v>4.5</v>
      </c>
      <c r="O384" t="str" cm="1">
        <f t="array" ref="O384">_xlfn.IFS(EmpTable[[#This Row],[Job Rate]] &lt;=1,"LOW",N384&lt;=2,"LOW",N384&lt;=3,"MEDIUM",N384&gt;4,"HIGH")</f>
        <v>HIGH</v>
      </c>
      <c r="P384">
        <v>1</v>
      </c>
      <c r="Q384">
        <v>0</v>
      </c>
      <c r="R384">
        <v>10</v>
      </c>
    </row>
    <row r="385" spans="1:18" x14ac:dyDescent="0.3">
      <c r="A385">
        <v>384</v>
      </c>
      <c r="B385" t="s">
        <v>578</v>
      </c>
      <c r="C385" t="s">
        <v>579</v>
      </c>
      <c r="D385" t="str">
        <f>_xlfn.CONCAT(EmpTable[[#This Row],[First Name]],EmpTable[[#This Row],[Last Name]])</f>
        <v>SarahDamrani</v>
      </c>
      <c r="E385" t="s">
        <v>307</v>
      </c>
      <c r="F385" s="1">
        <v>44036</v>
      </c>
      <c r="G385" s="2">
        <f ca="1">DATEDIF(EmpTable[[#This Row],[Start Date]],TODAY(),"Y")</f>
        <v>5</v>
      </c>
      <c r="H385" s="2" t="str" cm="1">
        <f t="array" aca="1" ref="H385" ca="1">_xlfn.IFS(G385&lt;=1,"Fresh",G385&lt;=3,"Junior",G385&lt;=7,"Teamlead",G385&gt;=7,"manger")</f>
        <v>Teamlead</v>
      </c>
      <c r="I385" t="s">
        <v>41</v>
      </c>
      <c r="J385" t="s">
        <v>18</v>
      </c>
      <c r="K385" t="s">
        <v>36</v>
      </c>
      <c r="L385">
        <v>1940</v>
      </c>
      <c r="M385">
        <v>23280</v>
      </c>
      <c r="N385">
        <v>3</v>
      </c>
      <c r="O385" t="str" cm="1">
        <f t="array" ref="O385">_xlfn.IFS(EmpTable[[#This Row],[Job Rate]] &lt;=1,"LOW",N385&lt;=2,"LOW",N385&lt;=3,"MEDIUM",N385&gt;4,"HIGH")</f>
        <v>MEDIUM</v>
      </c>
      <c r="P385">
        <v>4</v>
      </c>
      <c r="Q385">
        <v>6</v>
      </c>
      <c r="R385">
        <v>5</v>
      </c>
    </row>
    <row r="386" spans="1:18" x14ac:dyDescent="0.3">
      <c r="A386">
        <v>385</v>
      </c>
      <c r="B386" t="s">
        <v>357</v>
      </c>
      <c r="C386" t="s">
        <v>580</v>
      </c>
      <c r="D386" t="str">
        <f>_xlfn.CONCAT(EmpTable[[#This Row],[First Name]],EmpTable[[#This Row],[Last Name]])</f>
        <v>HusamAldubus</v>
      </c>
      <c r="E386" t="s">
        <v>32</v>
      </c>
      <c r="F386" s="1">
        <v>43603</v>
      </c>
      <c r="G386" s="2">
        <f ca="1">DATEDIF(EmpTable[[#This Row],[Start Date]],TODAY(),"Y")</f>
        <v>6</v>
      </c>
      <c r="H386" s="2" t="str" cm="1">
        <f t="array" aca="1" ref="H386" ca="1">_xlfn.IFS(G386&lt;=1,"Fresh",G386&lt;=3,"Junior",G386&lt;=7,"Teamlead",G386&gt;=7,"manger")</f>
        <v>Teamlead</v>
      </c>
      <c r="I386" t="s">
        <v>53</v>
      </c>
      <c r="J386" t="s">
        <v>18</v>
      </c>
      <c r="K386" t="s">
        <v>42</v>
      </c>
      <c r="L386">
        <v>1558</v>
      </c>
      <c r="M386">
        <v>18696</v>
      </c>
      <c r="N386">
        <v>2</v>
      </c>
      <c r="O386" t="str" cm="1">
        <f t="array" ref="O386">_xlfn.IFS(EmpTable[[#This Row],[Job Rate]] &lt;=1,"LOW",N386&lt;=2,"LOW",N386&lt;=3,"MEDIUM",N386&gt;4,"HIGH")</f>
        <v>LOW</v>
      </c>
      <c r="P386">
        <v>0</v>
      </c>
      <c r="Q386">
        <v>6</v>
      </c>
      <c r="R386">
        <v>9</v>
      </c>
    </row>
    <row r="387" spans="1:18" x14ac:dyDescent="0.3">
      <c r="A387">
        <v>386</v>
      </c>
      <c r="B387" t="s">
        <v>30</v>
      </c>
      <c r="C387" t="s">
        <v>581</v>
      </c>
      <c r="D387" t="str">
        <f>_xlfn.CONCAT(EmpTable[[#This Row],[First Name]],EmpTable[[#This Row],[Last Name]])</f>
        <v>AhmadZynu</v>
      </c>
      <c r="E387" t="s">
        <v>32</v>
      </c>
      <c r="F387" s="1">
        <v>43563</v>
      </c>
      <c r="G387" s="2">
        <f ca="1">DATEDIF(EmpTable[[#This Row],[Start Date]],TODAY(),"Y")</f>
        <v>6</v>
      </c>
      <c r="H387" s="2" t="str" cm="1">
        <f t="array" aca="1" ref="H387" ca="1">_xlfn.IFS(G387&lt;=1,"Fresh",G387&lt;=3,"Junior",G387&lt;=7,"Teamlead",G387&gt;=7,"manger")</f>
        <v>Teamlead</v>
      </c>
      <c r="I387" t="s">
        <v>50</v>
      </c>
      <c r="J387" t="s">
        <v>18</v>
      </c>
      <c r="K387" t="s">
        <v>36</v>
      </c>
      <c r="L387">
        <v>1341</v>
      </c>
      <c r="M387">
        <v>16092</v>
      </c>
      <c r="N387">
        <v>5</v>
      </c>
      <c r="O387" t="str" cm="1">
        <f t="array" ref="O387">_xlfn.IFS(EmpTable[[#This Row],[Job Rate]] &lt;=1,"LOW",N387&lt;=2,"LOW",N387&lt;=3,"MEDIUM",N387&gt;4,"HIGH")</f>
        <v>HIGH</v>
      </c>
      <c r="P387">
        <v>3</v>
      </c>
      <c r="Q387">
        <v>0</v>
      </c>
      <c r="R387">
        <v>8</v>
      </c>
    </row>
    <row r="388" spans="1:18" x14ac:dyDescent="0.3">
      <c r="A388">
        <v>387</v>
      </c>
      <c r="B388" t="s">
        <v>582</v>
      </c>
      <c r="C388" t="s">
        <v>80</v>
      </c>
      <c r="D388" t="str">
        <f>_xlfn.CONCAT(EmpTable[[#This Row],[First Name]],EmpTable[[#This Row],[Last Name]])</f>
        <v>LwyAbu</v>
      </c>
      <c r="E388" t="s">
        <v>32</v>
      </c>
      <c r="F388" s="1">
        <v>43566</v>
      </c>
      <c r="G388" s="2">
        <f ca="1">DATEDIF(EmpTable[[#This Row],[Start Date]],TODAY(),"Y")</f>
        <v>6</v>
      </c>
      <c r="H388" s="2" t="str" cm="1">
        <f t="array" aca="1" ref="H388" ca="1">_xlfn.IFS(G388&lt;=1,"Fresh",G388&lt;=3,"Junior",G388&lt;=7,"Teamlead",G388&gt;=7,"manger")</f>
        <v>Teamlead</v>
      </c>
      <c r="I388" t="s">
        <v>28</v>
      </c>
      <c r="J388" t="s">
        <v>18</v>
      </c>
      <c r="K388" t="s">
        <v>42</v>
      </c>
      <c r="L388">
        <v>1703</v>
      </c>
      <c r="M388">
        <v>20436</v>
      </c>
      <c r="N388">
        <v>5</v>
      </c>
      <c r="O388" t="str" cm="1">
        <f t="array" ref="O388">_xlfn.IFS(EmpTable[[#This Row],[Job Rate]] &lt;=1,"LOW",N388&lt;=2,"LOW",N388&lt;=3,"MEDIUM",N388&gt;4,"HIGH")</f>
        <v>HIGH</v>
      </c>
      <c r="P388">
        <v>2</v>
      </c>
      <c r="Q388">
        <v>0</v>
      </c>
      <c r="R388">
        <v>10</v>
      </c>
    </row>
    <row r="389" spans="1:18" x14ac:dyDescent="0.3">
      <c r="A389">
        <v>388</v>
      </c>
      <c r="B389" t="s">
        <v>195</v>
      </c>
      <c r="C389" t="s">
        <v>583</v>
      </c>
      <c r="D389" t="str">
        <f>_xlfn.CONCAT(EmpTable[[#This Row],[First Name]],EmpTable[[#This Row],[Last Name]])</f>
        <v>TariqShams</v>
      </c>
      <c r="E389" t="s">
        <v>32</v>
      </c>
      <c r="F389" s="1">
        <v>44032</v>
      </c>
      <c r="G389" s="2">
        <f ca="1">DATEDIF(EmpTable[[#This Row],[Start Date]],TODAY(),"Y")</f>
        <v>5</v>
      </c>
      <c r="H389" s="2" t="str" cm="1">
        <f t="array" aca="1" ref="H389" ca="1">_xlfn.IFS(G389&lt;=1,"Fresh",G389&lt;=3,"Junior",G389&lt;=7,"Teamlead",G389&gt;=7,"manger")</f>
        <v>Teamlead</v>
      </c>
      <c r="I389" t="s">
        <v>88</v>
      </c>
      <c r="J389" t="s">
        <v>18</v>
      </c>
      <c r="K389" t="s">
        <v>36</v>
      </c>
      <c r="L389">
        <v>3282</v>
      </c>
      <c r="M389">
        <v>39384</v>
      </c>
      <c r="N389">
        <v>1</v>
      </c>
      <c r="O389" t="str" cm="1">
        <f t="array" ref="O389">_xlfn.IFS(EmpTable[[#This Row],[Job Rate]] &lt;=1,"LOW",N389&lt;=2,"LOW",N389&lt;=3,"MEDIUM",N389&gt;4,"HIGH")</f>
        <v>LOW</v>
      </c>
      <c r="P389">
        <v>0</v>
      </c>
      <c r="Q389">
        <v>0</v>
      </c>
      <c r="R389">
        <v>2</v>
      </c>
    </row>
    <row r="390" spans="1:18" x14ac:dyDescent="0.3">
      <c r="A390">
        <v>389</v>
      </c>
      <c r="B390" t="s">
        <v>33</v>
      </c>
      <c r="C390" t="s">
        <v>290</v>
      </c>
      <c r="D390" t="str">
        <f>_xlfn.CONCAT(EmpTable[[#This Row],[First Name]],EmpTable[[#This Row],[Last Name]])</f>
        <v>MuhamadKhalil</v>
      </c>
      <c r="E390" t="s">
        <v>32</v>
      </c>
      <c r="F390" s="1">
        <v>43895</v>
      </c>
      <c r="G390" s="2">
        <f ca="1">DATEDIF(EmpTable[[#This Row],[Start Date]],TODAY(),"Y")</f>
        <v>6</v>
      </c>
      <c r="H390" s="2" t="str" cm="1">
        <f t="array" aca="1" ref="H390" ca="1">_xlfn.IFS(G390&lt;=1,"Fresh",G390&lt;=3,"Junior",G390&lt;=7,"Teamlead",G390&gt;=7,"manger")</f>
        <v>Teamlead</v>
      </c>
      <c r="I390" t="s">
        <v>39</v>
      </c>
      <c r="J390" t="s">
        <v>18</v>
      </c>
      <c r="K390" t="s">
        <v>19</v>
      </c>
      <c r="L390">
        <v>3125</v>
      </c>
      <c r="M390">
        <v>37500</v>
      </c>
      <c r="N390">
        <v>2</v>
      </c>
      <c r="O390" t="str" cm="1">
        <f t="array" ref="O390">_xlfn.IFS(EmpTable[[#This Row],[Job Rate]] &lt;=1,"LOW",N390&lt;=2,"LOW",N390&lt;=3,"MEDIUM",N390&gt;4,"HIGH")</f>
        <v>LOW</v>
      </c>
      <c r="P390">
        <v>6</v>
      </c>
      <c r="Q390">
        <v>3</v>
      </c>
      <c r="R390">
        <v>0</v>
      </c>
    </row>
    <row r="391" spans="1:18" x14ac:dyDescent="0.3">
      <c r="A391">
        <v>390</v>
      </c>
      <c r="B391" t="s">
        <v>191</v>
      </c>
      <c r="C391" t="s">
        <v>461</v>
      </c>
      <c r="D391" t="str">
        <f>_xlfn.CONCAT(EmpTable[[#This Row],[First Name]],EmpTable[[#This Row],[Last Name]])</f>
        <v>AmalAlhusayn</v>
      </c>
      <c r="E391" t="s">
        <v>307</v>
      </c>
      <c r="F391" s="1">
        <v>43958</v>
      </c>
      <c r="G391" s="2">
        <f ca="1">DATEDIF(EmpTable[[#This Row],[Start Date]],TODAY(),"Y")</f>
        <v>5</v>
      </c>
      <c r="H391" s="2" t="str" cm="1">
        <f t="array" aca="1" ref="H391" ca="1">_xlfn.IFS(G391&lt;=1,"Fresh",G391&lt;=3,"Junior",G391&lt;=7,"Teamlead",G391&gt;=7,"manger")</f>
        <v>Teamlead</v>
      </c>
      <c r="I391" t="s">
        <v>41</v>
      </c>
      <c r="J391" t="s">
        <v>29</v>
      </c>
      <c r="K391" t="s">
        <v>19</v>
      </c>
      <c r="L391">
        <v>2232</v>
      </c>
      <c r="M391">
        <v>26784</v>
      </c>
      <c r="N391">
        <v>4.5</v>
      </c>
      <c r="O391" t="str" cm="1">
        <f t="array" ref="O391">_xlfn.IFS(EmpTable[[#This Row],[Job Rate]] &lt;=1,"LOW",N391&lt;=2,"LOW",N391&lt;=3,"MEDIUM",N391&gt;4,"HIGH")</f>
        <v>HIGH</v>
      </c>
      <c r="P391">
        <v>0</v>
      </c>
      <c r="Q391">
        <v>0</v>
      </c>
      <c r="R391">
        <v>7</v>
      </c>
    </row>
    <row r="392" spans="1:18" x14ac:dyDescent="0.3">
      <c r="A392">
        <v>391</v>
      </c>
      <c r="B392" t="s">
        <v>197</v>
      </c>
      <c r="C392" t="s">
        <v>584</v>
      </c>
      <c r="D392" t="str">
        <f>_xlfn.CONCAT(EmpTable[[#This Row],[First Name]],EmpTable[[#This Row],[Last Name]])</f>
        <v>FadiShakur</v>
      </c>
      <c r="E392" t="s">
        <v>32</v>
      </c>
      <c r="F392" s="1">
        <v>42823</v>
      </c>
      <c r="G392" s="2">
        <f ca="1">DATEDIF(EmpTable[[#This Row],[Start Date]],TODAY(),"Y")</f>
        <v>9</v>
      </c>
      <c r="H392" s="2" t="str" cm="1">
        <f t="array" aca="1" ref="H392" ca="1">_xlfn.IFS(G392&lt;=1,"Fresh",G392&lt;=3,"Junior",G392&lt;=7,"Teamlead",G392&gt;=7,"manger")</f>
        <v>manger</v>
      </c>
      <c r="I392" t="s">
        <v>77</v>
      </c>
      <c r="J392" t="s">
        <v>48</v>
      </c>
      <c r="K392" t="s">
        <v>42</v>
      </c>
      <c r="L392">
        <v>2513</v>
      </c>
      <c r="M392">
        <v>30156</v>
      </c>
      <c r="N392">
        <v>4.5</v>
      </c>
      <c r="O392" t="str" cm="1">
        <f t="array" ref="O392">_xlfn.IFS(EmpTable[[#This Row],[Job Rate]] &lt;=1,"LOW",N392&lt;=2,"LOW",N392&lt;=3,"MEDIUM",N392&gt;4,"HIGH")</f>
        <v>HIGH</v>
      </c>
      <c r="P392">
        <v>2</v>
      </c>
      <c r="Q392">
        <v>0</v>
      </c>
      <c r="R392">
        <v>8</v>
      </c>
    </row>
    <row r="393" spans="1:18" x14ac:dyDescent="0.3">
      <c r="A393">
        <v>392</v>
      </c>
      <c r="B393" t="s">
        <v>585</v>
      </c>
      <c r="C393" t="s">
        <v>586</v>
      </c>
      <c r="D393" t="str">
        <f>_xlfn.CONCAT(EmpTable[[#This Row],[First Name]],EmpTable[[#This Row],[Last Name]])</f>
        <v>AbdalhaiSarhan</v>
      </c>
      <c r="E393" t="s">
        <v>32</v>
      </c>
      <c r="F393" s="1">
        <v>42788</v>
      </c>
      <c r="G393" s="2">
        <f ca="1">DATEDIF(EmpTable[[#This Row],[Start Date]],TODAY(),"Y")</f>
        <v>9</v>
      </c>
      <c r="H393" s="2" t="str" cm="1">
        <f t="array" aca="1" ref="H393" ca="1">_xlfn.IFS(G393&lt;=1,"Fresh",G393&lt;=3,"Junior",G393&lt;=7,"Teamlead",G393&gt;=7,"manger")</f>
        <v>manger</v>
      </c>
      <c r="I393" t="s">
        <v>53</v>
      </c>
      <c r="J393" t="s">
        <v>48</v>
      </c>
      <c r="K393" t="s">
        <v>60</v>
      </c>
      <c r="L393">
        <v>2818</v>
      </c>
      <c r="M393">
        <v>33816</v>
      </c>
      <c r="N393">
        <v>2</v>
      </c>
      <c r="O393" t="str" cm="1">
        <f t="array" ref="O393">_xlfn.IFS(EmpTable[[#This Row],[Job Rate]] &lt;=1,"LOW",N393&lt;=2,"LOW",N393&lt;=3,"MEDIUM",N393&gt;4,"HIGH")</f>
        <v>LOW</v>
      </c>
      <c r="P393">
        <v>4</v>
      </c>
      <c r="Q393">
        <v>0</v>
      </c>
      <c r="R393">
        <v>8</v>
      </c>
    </row>
    <row r="394" spans="1:18" x14ac:dyDescent="0.3">
      <c r="A394">
        <v>393</v>
      </c>
      <c r="B394" t="s">
        <v>30</v>
      </c>
      <c r="C394" t="s">
        <v>326</v>
      </c>
      <c r="D394" t="str">
        <f>_xlfn.CONCAT(EmpTable[[#This Row],[First Name]],EmpTable[[#This Row],[Last Name]])</f>
        <v>AhmadAlqadi</v>
      </c>
      <c r="E394" t="s">
        <v>32</v>
      </c>
      <c r="F394" s="1">
        <v>43240</v>
      </c>
      <c r="G394" s="2">
        <f ca="1">DATEDIF(EmpTable[[#This Row],[Start Date]],TODAY(),"Y")</f>
        <v>7</v>
      </c>
      <c r="H394" s="2" t="str" cm="1">
        <f t="array" aca="1" ref="H394" ca="1">_xlfn.IFS(G394&lt;=1,"Fresh",G394&lt;=3,"Junior",G394&lt;=7,"Teamlead",G394&gt;=7,"manger")</f>
        <v>Teamlead</v>
      </c>
      <c r="I394" t="s">
        <v>77</v>
      </c>
      <c r="J394" t="s">
        <v>18</v>
      </c>
      <c r="K394" t="s">
        <v>36</v>
      </c>
      <c r="L394">
        <v>2257</v>
      </c>
      <c r="M394">
        <v>27084</v>
      </c>
      <c r="N394">
        <v>3</v>
      </c>
      <c r="O394" t="str" cm="1">
        <f t="array" ref="O394">_xlfn.IFS(EmpTable[[#This Row],[Job Rate]] &lt;=1,"LOW",N394&lt;=2,"LOW",N394&lt;=3,"MEDIUM",N394&gt;4,"HIGH")</f>
        <v>MEDIUM</v>
      </c>
      <c r="P394">
        <v>0</v>
      </c>
      <c r="Q394">
        <v>0</v>
      </c>
      <c r="R394">
        <v>6</v>
      </c>
    </row>
    <row r="395" spans="1:18" x14ac:dyDescent="0.3">
      <c r="A395">
        <v>394</v>
      </c>
      <c r="B395" t="s">
        <v>357</v>
      </c>
      <c r="C395" t="s">
        <v>587</v>
      </c>
      <c r="D395" t="str">
        <f>_xlfn.CONCAT(EmpTable[[#This Row],[First Name]],EmpTable[[#This Row],[Last Name]])</f>
        <v>HusamAlbush</v>
      </c>
      <c r="E395" t="s">
        <v>32</v>
      </c>
      <c r="F395" s="1">
        <v>43944</v>
      </c>
      <c r="G395" s="2">
        <f ca="1">DATEDIF(EmpTable[[#This Row],[Start Date]],TODAY(),"Y")</f>
        <v>5</v>
      </c>
      <c r="H395" s="2" t="str" cm="1">
        <f t="array" aca="1" ref="H395" ca="1">_xlfn.IFS(G395&lt;=1,"Fresh",G395&lt;=3,"Junior",G395&lt;=7,"Teamlead",G395&gt;=7,"manger")</f>
        <v>Teamlead</v>
      </c>
      <c r="I395" t="s">
        <v>41</v>
      </c>
      <c r="J395" t="s">
        <v>18</v>
      </c>
      <c r="K395" t="s">
        <v>42</v>
      </c>
      <c r="L395">
        <v>1265</v>
      </c>
      <c r="M395">
        <v>15180</v>
      </c>
      <c r="N395">
        <v>3</v>
      </c>
      <c r="O395" t="str" cm="1">
        <f t="array" ref="O395">_xlfn.IFS(EmpTable[[#This Row],[Job Rate]] &lt;=1,"LOW",N395&lt;=2,"LOW",N395&lt;=3,"MEDIUM",N395&gt;4,"HIGH")</f>
        <v>MEDIUM</v>
      </c>
      <c r="P395">
        <v>0</v>
      </c>
      <c r="Q395">
        <v>0</v>
      </c>
      <c r="R395">
        <v>5</v>
      </c>
    </row>
    <row r="396" spans="1:18" x14ac:dyDescent="0.3">
      <c r="A396">
        <v>395</v>
      </c>
      <c r="B396" t="s">
        <v>588</v>
      </c>
      <c r="C396" t="s">
        <v>589</v>
      </c>
      <c r="D396" t="str">
        <f>_xlfn.CONCAT(EmpTable[[#This Row],[First Name]],EmpTable[[#This Row],[Last Name]])</f>
        <v>AnasEabidin</v>
      </c>
      <c r="E396" t="s">
        <v>32</v>
      </c>
      <c r="F396" s="1">
        <v>44130</v>
      </c>
      <c r="G396" s="2">
        <f ca="1">DATEDIF(EmpTable[[#This Row],[Start Date]],TODAY(),"Y")</f>
        <v>5</v>
      </c>
      <c r="H396" s="2" t="str" cm="1">
        <f t="array" aca="1" ref="H396" ca="1">_xlfn.IFS(G396&lt;=1,"Fresh",G396&lt;=3,"Junior",G396&lt;=7,"Teamlead",G396&gt;=7,"manger")</f>
        <v>Teamlead</v>
      </c>
      <c r="I396" t="s">
        <v>73</v>
      </c>
      <c r="J396" t="s">
        <v>29</v>
      </c>
      <c r="K396" t="s">
        <v>42</v>
      </c>
      <c r="L396">
        <v>2207</v>
      </c>
      <c r="M396">
        <v>26484</v>
      </c>
      <c r="N396">
        <v>3</v>
      </c>
      <c r="O396" t="str" cm="1">
        <f t="array" ref="O396">_xlfn.IFS(EmpTable[[#This Row],[Job Rate]] &lt;=1,"LOW",N396&lt;=2,"LOW",N396&lt;=3,"MEDIUM",N396&gt;4,"HIGH")</f>
        <v>MEDIUM</v>
      </c>
      <c r="P396">
        <v>2</v>
      </c>
      <c r="Q396">
        <v>0</v>
      </c>
      <c r="R396">
        <v>0</v>
      </c>
    </row>
    <row r="397" spans="1:18" x14ac:dyDescent="0.3">
      <c r="A397">
        <v>396</v>
      </c>
      <c r="B397" t="s">
        <v>33</v>
      </c>
      <c r="C397" t="s">
        <v>590</v>
      </c>
      <c r="D397" t="str">
        <f>_xlfn.CONCAT(EmpTable[[#This Row],[First Name]],EmpTable[[#This Row],[Last Name]])</f>
        <v>MuhamadEbdalwahd</v>
      </c>
      <c r="E397" t="s">
        <v>32</v>
      </c>
      <c r="F397" s="1">
        <v>43500</v>
      </c>
      <c r="G397" s="2">
        <f ca="1">DATEDIF(EmpTable[[#This Row],[Start Date]],TODAY(),"Y")</f>
        <v>7</v>
      </c>
      <c r="H397" s="2" t="str" cm="1">
        <f t="array" aca="1" ref="H397" ca="1">_xlfn.IFS(G397&lt;=1,"Fresh",G397&lt;=3,"Junior",G397&lt;=7,"Teamlead",G397&gt;=7,"manger")</f>
        <v>Teamlead</v>
      </c>
      <c r="I397" t="s">
        <v>58</v>
      </c>
      <c r="J397" t="s">
        <v>18</v>
      </c>
      <c r="K397" t="s">
        <v>36</v>
      </c>
      <c r="L397">
        <v>2806</v>
      </c>
      <c r="M397">
        <v>33672</v>
      </c>
      <c r="N397">
        <v>3</v>
      </c>
      <c r="O397" t="str" cm="1">
        <f t="array" ref="O397">_xlfn.IFS(EmpTable[[#This Row],[Job Rate]] &lt;=1,"LOW",N397&lt;=2,"LOW",N397&lt;=3,"MEDIUM",N397&gt;4,"HIGH")</f>
        <v>MEDIUM</v>
      </c>
      <c r="P397">
        <v>0</v>
      </c>
      <c r="Q397">
        <v>0</v>
      </c>
      <c r="R397">
        <v>4</v>
      </c>
    </row>
    <row r="398" spans="1:18" x14ac:dyDescent="0.3">
      <c r="A398">
        <v>397</v>
      </c>
      <c r="B398" t="s">
        <v>165</v>
      </c>
      <c r="C398" t="s">
        <v>279</v>
      </c>
      <c r="D398" t="str">
        <f>_xlfn.CONCAT(EmpTable[[#This Row],[First Name]],EmpTable[[#This Row],[Last Name]])</f>
        <v>KhalidIibrahim</v>
      </c>
      <c r="E398" t="s">
        <v>32</v>
      </c>
      <c r="F398" s="1">
        <v>42781</v>
      </c>
      <c r="G398" s="2">
        <f ca="1">DATEDIF(EmpTable[[#This Row],[Start Date]],TODAY(),"Y")</f>
        <v>9</v>
      </c>
      <c r="H398" s="2" t="str" cm="1">
        <f t="array" aca="1" ref="H398" ca="1">_xlfn.IFS(G398&lt;=1,"Fresh",G398&lt;=3,"Junior",G398&lt;=7,"Teamlead",G398&gt;=7,"manger")</f>
        <v>manger</v>
      </c>
      <c r="I398" t="s">
        <v>163</v>
      </c>
      <c r="J398" t="s">
        <v>29</v>
      </c>
      <c r="K398" t="s">
        <v>60</v>
      </c>
      <c r="L398">
        <v>1521</v>
      </c>
      <c r="M398">
        <v>18252</v>
      </c>
      <c r="N398">
        <v>5</v>
      </c>
      <c r="O398" t="str" cm="1">
        <f t="array" ref="O398">_xlfn.IFS(EmpTable[[#This Row],[Job Rate]] &lt;=1,"LOW",N398&lt;=2,"LOW",N398&lt;=3,"MEDIUM",N398&gt;4,"HIGH")</f>
        <v>HIGH</v>
      </c>
      <c r="P398">
        <v>6</v>
      </c>
      <c r="Q398">
        <v>0</v>
      </c>
      <c r="R398">
        <v>3</v>
      </c>
    </row>
    <row r="399" spans="1:18" x14ac:dyDescent="0.3">
      <c r="A399">
        <v>398</v>
      </c>
      <c r="B399" t="s">
        <v>33</v>
      </c>
      <c r="C399" t="s">
        <v>591</v>
      </c>
      <c r="D399" t="str">
        <f>_xlfn.CONCAT(EmpTable[[#This Row],[First Name]],EmpTable[[#This Row],[Last Name]])</f>
        <v>MuhamadAleazm</v>
      </c>
      <c r="E399" t="s">
        <v>32</v>
      </c>
      <c r="F399" s="1">
        <v>43197</v>
      </c>
      <c r="G399" s="2">
        <f ca="1">DATEDIF(EmpTable[[#This Row],[Start Date]],TODAY(),"Y")</f>
        <v>7</v>
      </c>
      <c r="H399" s="2" t="str" cm="1">
        <f t="array" aca="1" ref="H399" ca="1">_xlfn.IFS(G399&lt;=1,"Fresh",G399&lt;=3,"Junior",G399&lt;=7,"Teamlead",G399&gt;=7,"manger")</f>
        <v>Teamlead</v>
      </c>
      <c r="I399" t="s">
        <v>53</v>
      </c>
      <c r="J399" t="s">
        <v>18</v>
      </c>
      <c r="K399" t="s">
        <v>60</v>
      </c>
      <c r="L399">
        <v>1867</v>
      </c>
      <c r="M399">
        <v>22404</v>
      </c>
      <c r="N399">
        <v>3</v>
      </c>
      <c r="O399" t="str" cm="1">
        <f t="array" ref="O399">_xlfn.IFS(EmpTable[[#This Row],[Job Rate]] &lt;=1,"LOW",N399&lt;=2,"LOW",N399&lt;=3,"MEDIUM",N399&gt;4,"HIGH")</f>
        <v>MEDIUM</v>
      </c>
      <c r="P399">
        <v>0</v>
      </c>
      <c r="Q399">
        <v>0</v>
      </c>
      <c r="R399">
        <v>0</v>
      </c>
    </row>
    <row r="400" spans="1:18" x14ac:dyDescent="0.3">
      <c r="A400">
        <v>399</v>
      </c>
      <c r="B400" t="s">
        <v>592</v>
      </c>
      <c r="C400" t="s">
        <v>593</v>
      </c>
      <c r="D400" t="str">
        <f>_xlfn.CONCAT(EmpTable[[#This Row],[First Name]],EmpTable[[#This Row],[Last Name]])</f>
        <v>MayaAlhmwi</v>
      </c>
      <c r="E400" t="s">
        <v>307</v>
      </c>
      <c r="F400" s="1">
        <v>43444</v>
      </c>
      <c r="G400" s="2">
        <f ca="1">DATEDIF(EmpTable[[#This Row],[Start Date]],TODAY(),"Y")</f>
        <v>7</v>
      </c>
      <c r="H400" s="2" t="str" cm="1">
        <f t="array" aca="1" ref="H400" ca="1">_xlfn.IFS(G400&lt;=1,"Fresh",G400&lt;=3,"Junior",G400&lt;=7,"Teamlead",G400&gt;=7,"manger")</f>
        <v>Teamlead</v>
      </c>
      <c r="I400" t="s">
        <v>17</v>
      </c>
      <c r="J400" t="s">
        <v>22</v>
      </c>
      <c r="K400" t="s">
        <v>36</v>
      </c>
      <c r="L400">
        <v>2425</v>
      </c>
      <c r="M400">
        <v>29100</v>
      </c>
      <c r="N400">
        <v>5</v>
      </c>
      <c r="O400" t="str" cm="1">
        <f t="array" ref="O400">_xlfn.IFS(EmpTable[[#This Row],[Job Rate]] &lt;=1,"LOW",N400&lt;=2,"LOW",N400&lt;=3,"MEDIUM",N400&gt;4,"HIGH")</f>
        <v>HIGH</v>
      </c>
      <c r="P400">
        <v>0</v>
      </c>
      <c r="Q400">
        <v>0</v>
      </c>
      <c r="R400">
        <v>10</v>
      </c>
    </row>
    <row r="401" spans="1:18" x14ac:dyDescent="0.3">
      <c r="A401">
        <v>400</v>
      </c>
      <c r="B401" t="s">
        <v>388</v>
      </c>
      <c r="C401" t="s">
        <v>594</v>
      </c>
      <c r="D401" t="str">
        <f>_xlfn.CONCAT(EmpTable[[#This Row],[First Name]],EmpTable[[#This Row],[Last Name]])</f>
        <v>BasilKhiat</v>
      </c>
      <c r="E401" t="s">
        <v>32</v>
      </c>
      <c r="F401" s="1">
        <v>44179</v>
      </c>
      <c r="G401" s="2">
        <f ca="1">DATEDIF(EmpTable[[#This Row],[Start Date]],TODAY(),"Y")</f>
        <v>5</v>
      </c>
      <c r="H401" s="2" t="str" cm="1">
        <f t="array" aca="1" ref="H401" ca="1">_xlfn.IFS(G401&lt;=1,"Fresh",G401&lt;=3,"Junior",G401&lt;=7,"Teamlead",G401&gt;=7,"manger")</f>
        <v>Teamlead</v>
      </c>
      <c r="I401" t="s">
        <v>58</v>
      </c>
      <c r="J401" t="s">
        <v>22</v>
      </c>
      <c r="K401" t="s">
        <v>42</v>
      </c>
      <c r="L401">
        <v>1758</v>
      </c>
      <c r="M401">
        <v>21096</v>
      </c>
      <c r="N401">
        <v>5</v>
      </c>
      <c r="O401" t="str" cm="1">
        <f t="array" ref="O401">_xlfn.IFS(EmpTable[[#This Row],[Job Rate]] &lt;=1,"LOW",N401&lt;=2,"LOW",N401&lt;=3,"MEDIUM",N401&gt;4,"HIGH")</f>
        <v>HIGH</v>
      </c>
      <c r="P401">
        <v>0</v>
      </c>
      <c r="Q401">
        <v>0</v>
      </c>
      <c r="R401">
        <v>0</v>
      </c>
    </row>
    <row r="402" spans="1:18" x14ac:dyDescent="0.3">
      <c r="A402">
        <v>401</v>
      </c>
      <c r="B402" t="s">
        <v>33</v>
      </c>
      <c r="C402" t="s">
        <v>500</v>
      </c>
      <c r="D402" t="str">
        <f>_xlfn.CONCAT(EmpTable[[#This Row],[First Name]],EmpTable[[#This Row],[Last Name]])</f>
        <v>MuhamadZaydan</v>
      </c>
      <c r="E402" t="s">
        <v>32</v>
      </c>
      <c r="F402" s="1">
        <v>44191</v>
      </c>
      <c r="G402" s="2">
        <f ca="1">DATEDIF(EmpTable[[#This Row],[Start Date]],TODAY(),"Y")</f>
        <v>5</v>
      </c>
      <c r="H402" s="2" t="str" cm="1">
        <f t="array" aca="1" ref="H402" ca="1">_xlfn.IFS(G402&lt;=1,"Fresh",G402&lt;=3,"Junior",G402&lt;=7,"Teamlead",G402&gt;=7,"manger")</f>
        <v>Teamlead</v>
      </c>
      <c r="I402" t="s">
        <v>28</v>
      </c>
      <c r="J402" t="s">
        <v>48</v>
      </c>
      <c r="K402" t="s">
        <v>898</v>
      </c>
      <c r="L402">
        <v>2832</v>
      </c>
      <c r="M402">
        <v>33984</v>
      </c>
      <c r="N402">
        <v>3</v>
      </c>
      <c r="O402" t="str" cm="1">
        <f t="array" ref="O402">_xlfn.IFS(EmpTable[[#This Row],[Job Rate]] &lt;=1,"LOW",N402&lt;=2,"LOW",N402&lt;=3,"MEDIUM",N402&gt;4,"HIGH")</f>
        <v>MEDIUM</v>
      </c>
      <c r="P402">
        <v>0</v>
      </c>
      <c r="Q402">
        <v>0</v>
      </c>
      <c r="R402">
        <v>1</v>
      </c>
    </row>
    <row r="403" spans="1:18" x14ac:dyDescent="0.3">
      <c r="A403">
        <v>402</v>
      </c>
      <c r="B403" t="s">
        <v>595</v>
      </c>
      <c r="C403" t="s">
        <v>596</v>
      </c>
      <c r="D403" t="str">
        <f>_xlfn.CONCAT(EmpTable[[#This Row],[First Name]],EmpTable[[#This Row],[Last Name]])</f>
        <v>RandaAlajw</v>
      </c>
      <c r="E403" t="s">
        <v>307</v>
      </c>
      <c r="F403" s="1">
        <v>42879</v>
      </c>
      <c r="G403" s="2">
        <f ca="1">DATEDIF(EmpTable[[#This Row],[Start Date]],TODAY(),"Y")</f>
        <v>8</v>
      </c>
      <c r="H403" s="2" t="str" cm="1">
        <f t="array" aca="1" ref="H403" ca="1">_xlfn.IFS(G403&lt;=1,"Fresh",G403&lt;=3,"Junior",G403&lt;=7,"Teamlead",G403&gt;=7,"manger")</f>
        <v>manger</v>
      </c>
      <c r="I403" t="s">
        <v>58</v>
      </c>
      <c r="J403" t="s">
        <v>18</v>
      </c>
      <c r="K403" t="s">
        <v>36</v>
      </c>
      <c r="L403">
        <v>1371</v>
      </c>
      <c r="M403">
        <v>16452</v>
      </c>
      <c r="N403">
        <v>1</v>
      </c>
      <c r="O403" t="str" cm="1">
        <f t="array" ref="O403">_xlfn.IFS(EmpTable[[#This Row],[Job Rate]] &lt;=1,"LOW",N403&lt;=2,"LOW",N403&lt;=3,"MEDIUM",N403&gt;4,"HIGH")</f>
        <v>LOW</v>
      </c>
      <c r="P403">
        <v>1</v>
      </c>
      <c r="Q403">
        <v>0</v>
      </c>
      <c r="R403">
        <v>8</v>
      </c>
    </row>
    <row r="404" spans="1:18" x14ac:dyDescent="0.3">
      <c r="A404">
        <v>403</v>
      </c>
      <c r="B404" t="s">
        <v>33</v>
      </c>
      <c r="C404" t="s">
        <v>597</v>
      </c>
      <c r="D404" t="str">
        <f>_xlfn.CONCAT(EmpTable[[#This Row],[First Name]],EmpTable[[#This Row],[Last Name]])</f>
        <v>MuhamadAlghazi</v>
      </c>
      <c r="E404" t="s">
        <v>32</v>
      </c>
      <c r="F404" s="1">
        <v>43461</v>
      </c>
      <c r="G404" s="2">
        <f ca="1">DATEDIF(EmpTable[[#This Row],[Start Date]],TODAY(),"Y")</f>
        <v>7</v>
      </c>
      <c r="H404" s="2" t="str" cm="1">
        <f t="array" aca="1" ref="H404" ca="1">_xlfn.IFS(G404&lt;=1,"Fresh",G404&lt;=3,"Junior",G404&lt;=7,"Teamlead",G404&gt;=7,"manger")</f>
        <v>Teamlead</v>
      </c>
      <c r="I404" t="s">
        <v>58</v>
      </c>
      <c r="J404" t="s">
        <v>18</v>
      </c>
      <c r="K404" t="s">
        <v>898</v>
      </c>
      <c r="L404">
        <v>2904</v>
      </c>
      <c r="M404">
        <v>34848</v>
      </c>
      <c r="N404">
        <v>5</v>
      </c>
      <c r="O404" t="str" cm="1">
        <f t="array" ref="O404">_xlfn.IFS(EmpTable[[#This Row],[Job Rate]] &lt;=1,"LOW",N404&lt;=2,"LOW",N404&lt;=3,"MEDIUM",N404&gt;4,"HIGH")</f>
        <v>HIGH</v>
      </c>
      <c r="P404">
        <v>6</v>
      </c>
      <c r="Q404">
        <v>0</v>
      </c>
      <c r="R404">
        <v>3</v>
      </c>
    </row>
    <row r="405" spans="1:18" x14ac:dyDescent="0.3">
      <c r="A405">
        <v>404</v>
      </c>
      <c r="B405" t="s">
        <v>310</v>
      </c>
      <c r="C405" t="s">
        <v>598</v>
      </c>
      <c r="D405" t="str">
        <f>_xlfn.CONCAT(EmpTable[[#This Row],[First Name]],EmpTable[[#This Row],[Last Name]])</f>
        <v>RahafEijluni</v>
      </c>
      <c r="E405" t="s">
        <v>307</v>
      </c>
      <c r="F405" s="1">
        <v>43512</v>
      </c>
      <c r="G405" s="2">
        <f ca="1">DATEDIF(EmpTable[[#This Row],[Start Date]],TODAY(),"Y")</f>
        <v>7</v>
      </c>
      <c r="H405" s="2" t="str" cm="1">
        <f t="array" aca="1" ref="H405" ca="1">_xlfn.IFS(G405&lt;=1,"Fresh",G405&lt;=3,"Junior",G405&lt;=7,"Teamlead",G405&gt;=7,"manger")</f>
        <v>Teamlead</v>
      </c>
      <c r="I405" t="s">
        <v>35</v>
      </c>
      <c r="J405" t="s">
        <v>294</v>
      </c>
      <c r="K405" t="s">
        <v>42</v>
      </c>
      <c r="L405">
        <v>3285</v>
      </c>
      <c r="M405">
        <v>39420</v>
      </c>
      <c r="N405">
        <v>3</v>
      </c>
      <c r="O405" t="str" cm="1">
        <f t="array" ref="O405">_xlfn.IFS(EmpTable[[#This Row],[Job Rate]] &lt;=1,"LOW",N405&lt;=2,"LOW",N405&lt;=3,"MEDIUM",N405&gt;4,"HIGH")</f>
        <v>MEDIUM</v>
      </c>
      <c r="P405">
        <v>2</v>
      </c>
      <c r="Q405">
        <v>0</v>
      </c>
      <c r="R405">
        <v>0</v>
      </c>
    </row>
    <row r="406" spans="1:18" x14ac:dyDescent="0.3">
      <c r="A406">
        <v>405</v>
      </c>
      <c r="B406" t="s">
        <v>599</v>
      </c>
      <c r="C406" t="s">
        <v>600</v>
      </c>
      <c r="D406" t="str">
        <f>_xlfn.CONCAT(EmpTable[[#This Row],[First Name]],EmpTable[[#This Row],[Last Name]])</f>
        <v>SultanAlhijar</v>
      </c>
      <c r="E406" t="s">
        <v>32</v>
      </c>
      <c r="F406" s="1">
        <v>43290</v>
      </c>
      <c r="G406" s="2">
        <f ca="1">DATEDIF(EmpTable[[#This Row],[Start Date]],TODAY(),"Y")</f>
        <v>7</v>
      </c>
      <c r="H406" s="2" t="str" cm="1">
        <f t="array" aca="1" ref="H406" ca="1">_xlfn.IFS(G406&lt;=1,"Fresh",G406&lt;=3,"Junior",G406&lt;=7,"Teamlead",G406&gt;=7,"manger")</f>
        <v>Teamlead</v>
      </c>
      <c r="I406" t="s">
        <v>53</v>
      </c>
      <c r="J406" t="s">
        <v>18</v>
      </c>
      <c r="K406" t="s">
        <v>19</v>
      </c>
      <c r="L406">
        <v>2964</v>
      </c>
      <c r="M406">
        <v>35568</v>
      </c>
      <c r="N406">
        <v>5</v>
      </c>
      <c r="O406" t="str" cm="1">
        <f t="array" ref="O406">_xlfn.IFS(EmpTable[[#This Row],[Job Rate]] &lt;=1,"LOW",N406&lt;=2,"LOW",N406&lt;=3,"MEDIUM",N406&gt;4,"HIGH")</f>
        <v>HIGH</v>
      </c>
      <c r="P406">
        <v>2</v>
      </c>
      <c r="Q406">
        <v>0</v>
      </c>
      <c r="R406">
        <v>45</v>
      </c>
    </row>
    <row r="407" spans="1:18" x14ac:dyDescent="0.3">
      <c r="A407">
        <v>406</v>
      </c>
      <c r="B407" t="s">
        <v>601</v>
      </c>
      <c r="C407" t="s">
        <v>602</v>
      </c>
      <c r="D407" t="str">
        <f>_xlfn.CONCAT(EmpTable[[#This Row],[First Name]],EmpTable[[#This Row],[Last Name]])</f>
        <v>AsmaSadqawi</v>
      </c>
      <c r="E407" t="s">
        <v>307</v>
      </c>
      <c r="F407" s="1">
        <v>43195</v>
      </c>
      <c r="G407" s="2">
        <f ca="1">DATEDIF(EmpTable[[#This Row],[Start Date]],TODAY(),"Y")</f>
        <v>7</v>
      </c>
      <c r="H407" s="2" t="str" cm="1">
        <f t="array" aca="1" ref="H407" ca="1">_xlfn.IFS(G407&lt;=1,"Fresh",G407&lt;=3,"Junior",G407&lt;=7,"Teamlead",G407&gt;=7,"manger")</f>
        <v>Teamlead</v>
      </c>
      <c r="I407" t="s">
        <v>41</v>
      </c>
      <c r="J407" t="s">
        <v>29</v>
      </c>
      <c r="K407" t="s">
        <v>36</v>
      </c>
      <c r="L407">
        <v>974</v>
      </c>
      <c r="M407">
        <v>11688</v>
      </c>
      <c r="N407">
        <v>2</v>
      </c>
      <c r="O407" t="str" cm="1">
        <f t="array" ref="O407">_xlfn.IFS(EmpTable[[#This Row],[Job Rate]] &lt;=1,"LOW",N407&lt;=2,"LOW",N407&lt;=3,"MEDIUM",N407&gt;4,"HIGH")</f>
        <v>LOW</v>
      </c>
      <c r="P407">
        <v>5</v>
      </c>
      <c r="Q407">
        <v>0</v>
      </c>
      <c r="R407">
        <v>5</v>
      </c>
    </row>
    <row r="408" spans="1:18" x14ac:dyDescent="0.3">
      <c r="A408">
        <v>407</v>
      </c>
      <c r="B408" t="s">
        <v>603</v>
      </c>
      <c r="C408" t="s">
        <v>604</v>
      </c>
      <c r="D408" t="str">
        <f>_xlfn.CONCAT(EmpTable[[#This Row],[First Name]],EmpTable[[#This Row],[Last Name]])</f>
        <v>FullaAlkhalid</v>
      </c>
      <c r="E408" t="s">
        <v>307</v>
      </c>
      <c r="F408" s="1">
        <v>43579</v>
      </c>
      <c r="G408" s="2">
        <f ca="1">DATEDIF(EmpTable[[#This Row],[Start Date]],TODAY(),"Y")</f>
        <v>6</v>
      </c>
      <c r="H408" s="2" t="str" cm="1">
        <f t="array" aca="1" ref="H408" ca="1">_xlfn.IFS(G408&lt;=1,"Fresh",G408&lt;=3,"Junior",G408&lt;=7,"Teamlead",G408&gt;=7,"manger")</f>
        <v>Teamlead</v>
      </c>
      <c r="I408" t="s">
        <v>41</v>
      </c>
      <c r="J408" t="s">
        <v>22</v>
      </c>
      <c r="K408" t="s">
        <v>898</v>
      </c>
      <c r="L408">
        <v>2607</v>
      </c>
      <c r="M408">
        <v>31284</v>
      </c>
      <c r="N408">
        <v>4.5</v>
      </c>
      <c r="O408" t="str" cm="1">
        <f t="array" ref="O408">_xlfn.IFS(EmpTable[[#This Row],[Job Rate]] &lt;=1,"LOW",N408&lt;=2,"LOW",N408&lt;=3,"MEDIUM",N408&gt;4,"HIGH")</f>
        <v>HIGH</v>
      </c>
      <c r="P408">
        <v>0</v>
      </c>
      <c r="Q408">
        <v>0</v>
      </c>
      <c r="R408">
        <v>9</v>
      </c>
    </row>
    <row r="409" spans="1:18" x14ac:dyDescent="0.3">
      <c r="A409">
        <v>408</v>
      </c>
      <c r="B409" t="s">
        <v>605</v>
      </c>
      <c r="C409" t="s">
        <v>311</v>
      </c>
      <c r="D409" t="str">
        <f>_xlfn.CONCAT(EmpTable[[#This Row],[First Name]],EmpTable[[#This Row],[Last Name]])</f>
        <v>LujinAlaleppoy</v>
      </c>
      <c r="E409" t="s">
        <v>307</v>
      </c>
      <c r="F409" s="1">
        <v>42998</v>
      </c>
      <c r="G409" s="2">
        <f ca="1">DATEDIF(EmpTable[[#This Row],[Start Date]],TODAY(),"Y")</f>
        <v>8</v>
      </c>
      <c r="H409" s="2" t="str" cm="1">
        <f t="array" aca="1" ref="H409" ca="1">_xlfn.IFS(G409&lt;=1,"Fresh",G409&lt;=3,"Junior",G409&lt;=7,"Teamlead",G409&gt;=7,"manger")</f>
        <v>manger</v>
      </c>
      <c r="I409" t="s">
        <v>17</v>
      </c>
      <c r="J409" t="s">
        <v>18</v>
      </c>
      <c r="K409" t="s">
        <v>42</v>
      </c>
      <c r="L409">
        <v>1550</v>
      </c>
      <c r="M409">
        <v>18600</v>
      </c>
      <c r="N409">
        <v>1</v>
      </c>
      <c r="O409" t="str" cm="1">
        <f t="array" ref="O409">_xlfn.IFS(EmpTable[[#This Row],[Job Rate]] &lt;=1,"LOW",N409&lt;=2,"LOW",N409&lt;=3,"MEDIUM",N409&gt;4,"HIGH")</f>
        <v>LOW</v>
      </c>
      <c r="P409">
        <v>0</v>
      </c>
      <c r="Q409">
        <v>0</v>
      </c>
      <c r="R409">
        <v>3</v>
      </c>
    </row>
    <row r="410" spans="1:18" x14ac:dyDescent="0.3">
      <c r="A410">
        <v>409</v>
      </c>
      <c r="B410" t="s">
        <v>606</v>
      </c>
      <c r="C410" t="s">
        <v>607</v>
      </c>
      <c r="D410" t="str">
        <f>_xlfn.CONCAT(EmpTable[[#This Row],[First Name]],EmpTable[[#This Row],[Last Name]])</f>
        <v>JihanAlqudmani</v>
      </c>
      <c r="E410" t="s">
        <v>307</v>
      </c>
      <c r="F410" s="1">
        <v>42574</v>
      </c>
      <c r="G410" s="2">
        <f ca="1">DATEDIF(EmpTable[[#This Row],[Start Date]],TODAY(),"Y")</f>
        <v>9</v>
      </c>
      <c r="H410" s="2" t="str" cm="1">
        <f t="array" aca="1" ref="H410" ca="1">_xlfn.IFS(G410&lt;=1,"Fresh",G410&lt;=3,"Junior",G410&lt;=7,"Teamlead",G410&gt;=7,"manger")</f>
        <v>manger</v>
      </c>
      <c r="I410" t="s">
        <v>39</v>
      </c>
      <c r="J410" t="s">
        <v>18</v>
      </c>
      <c r="K410" t="s">
        <v>42</v>
      </c>
      <c r="L410">
        <v>1631</v>
      </c>
      <c r="M410">
        <v>19572</v>
      </c>
      <c r="N410">
        <v>4.5</v>
      </c>
      <c r="O410" t="str" cm="1">
        <f t="array" ref="O410">_xlfn.IFS(EmpTable[[#This Row],[Job Rate]] &lt;=1,"LOW",N410&lt;=2,"LOW",N410&lt;=3,"MEDIUM",N410&gt;4,"HIGH")</f>
        <v>HIGH</v>
      </c>
      <c r="P410">
        <v>0</v>
      </c>
      <c r="Q410">
        <v>0</v>
      </c>
      <c r="R410">
        <v>4</v>
      </c>
    </row>
    <row r="411" spans="1:18" x14ac:dyDescent="0.3">
      <c r="A411">
        <v>410</v>
      </c>
      <c r="B411" t="s">
        <v>234</v>
      </c>
      <c r="C411" t="s">
        <v>608</v>
      </c>
      <c r="D411" t="str">
        <f>_xlfn.CONCAT(EmpTable[[#This Row],[First Name]],EmpTable[[#This Row],[Last Name]])</f>
        <v>AnwarAlkhayran</v>
      </c>
      <c r="E411" t="s">
        <v>32</v>
      </c>
      <c r="F411" s="1">
        <v>43506</v>
      </c>
      <c r="G411" s="2">
        <f ca="1">DATEDIF(EmpTable[[#This Row],[Start Date]],TODAY(),"Y")</f>
        <v>7</v>
      </c>
      <c r="H411" s="2" t="str" cm="1">
        <f t="array" aca="1" ref="H411" ca="1">_xlfn.IFS(G411&lt;=1,"Fresh",G411&lt;=3,"Junior",G411&lt;=7,"Teamlead",G411&gt;=7,"manger")</f>
        <v>Teamlead</v>
      </c>
      <c r="I411" t="s">
        <v>58</v>
      </c>
      <c r="J411" t="s">
        <v>18</v>
      </c>
      <c r="K411" t="s">
        <v>898</v>
      </c>
      <c r="L411">
        <v>3003</v>
      </c>
      <c r="M411">
        <v>36036</v>
      </c>
      <c r="N411">
        <v>1</v>
      </c>
      <c r="O411" t="str" cm="1">
        <f t="array" ref="O411">_xlfn.IFS(EmpTable[[#This Row],[Job Rate]] &lt;=1,"LOW",N411&lt;=2,"LOW",N411&lt;=3,"MEDIUM",N411&gt;4,"HIGH")</f>
        <v>LOW</v>
      </c>
      <c r="P411">
        <v>6</v>
      </c>
      <c r="Q411">
        <v>1</v>
      </c>
      <c r="R411">
        <v>6</v>
      </c>
    </row>
    <row r="412" spans="1:18" x14ac:dyDescent="0.3">
      <c r="A412">
        <v>411</v>
      </c>
      <c r="B412" t="s">
        <v>609</v>
      </c>
      <c r="C412" t="s">
        <v>33</v>
      </c>
      <c r="D412" t="str">
        <f>_xlfn.CONCAT(EmpTable[[#This Row],[First Name]],EmpTable[[#This Row],[Last Name]])</f>
        <v>QasimMuhamad</v>
      </c>
      <c r="E412" t="s">
        <v>32</v>
      </c>
      <c r="F412" s="1">
        <v>43800</v>
      </c>
      <c r="G412" s="2">
        <f ca="1">DATEDIF(EmpTable[[#This Row],[Start Date]],TODAY(),"Y")</f>
        <v>6</v>
      </c>
      <c r="H412" s="2" t="str" cm="1">
        <f t="array" aca="1" ref="H412" ca="1">_xlfn.IFS(G412&lt;=1,"Fresh",G412&lt;=3,"Junior",G412&lt;=7,"Teamlead",G412&gt;=7,"manger")</f>
        <v>Teamlead</v>
      </c>
      <c r="I412" t="s">
        <v>28</v>
      </c>
      <c r="J412" t="s">
        <v>18</v>
      </c>
      <c r="K412" t="s">
        <v>19</v>
      </c>
      <c r="L412">
        <v>913</v>
      </c>
      <c r="M412">
        <v>10956</v>
      </c>
      <c r="N412">
        <v>5</v>
      </c>
      <c r="O412" t="str" cm="1">
        <f t="array" ref="O412">_xlfn.IFS(EmpTable[[#This Row],[Job Rate]] &lt;=1,"LOW",N412&lt;=2,"LOW",N412&lt;=3,"MEDIUM",N412&gt;4,"HIGH")</f>
        <v>HIGH</v>
      </c>
      <c r="P412">
        <v>0</v>
      </c>
      <c r="Q412">
        <v>0</v>
      </c>
      <c r="R412">
        <v>12</v>
      </c>
    </row>
    <row r="413" spans="1:18" x14ac:dyDescent="0.3">
      <c r="A413">
        <v>412</v>
      </c>
      <c r="B413" t="s">
        <v>69</v>
      </c>
      <c r="C413" t="s">
        <v>610</v>
      </c>
      <c r="D413" t="str">
        <f>_xlfn.CONCAT(EmpTable[[#This Row],[First Name]],EmpTable[[#This Row],[Last Name]])</f>
        <v>SamirAltaynawi</v>
      </c>
      <c r="E413" t="s">
        <v>32</v>
      </c>
      <c r="F413" s="1">
        <v>42934</v>
      </c>
      <c r="G413" s="2">
        <f ca="1">DATEDIF(EmpTable[[#This Row],[Start Date]],TODAY(),"Y")</f>
        <v>8</v>
      </c>
      <c r="H413" s="2" t="str" cm="1">
        <f t="array" aca="1" ref="H413" ca="1">_xlfn.IFS(G413&lt;=1,"Fresh",G413&lt;=3,"Junior",G413&lt;=7,"Teamlead",G413&gt;=7,"manger")</f>
        <v>manger</v>
      </c>
      <c r="I413" t="s">
        <v>53</v>
      </c>
      <c r="J413" t="s">
        <v>18</v>
      </c>
      <c r="K413" t="s">
        <v>60</v>
      </c>
      <c r="L413">
        <v>2076</v>
      </c>
      <c r="M413">
        <v>24912</v>
      </c>
      <c r="N413">
        <v>3</v>
      </c>
      <c r="O413" t="str" cm="1">
        <f t="array" ref="O413">_xlfn.IFS(EmpTable[[#This Row],[Job Rate]] &lt;=1,"LOW",N413&lt;=2,"LOW",N413&lt;=3,"MEDIUM",N413&gt;4,"HIGH")</f>
        <v>MEDIUM</v>
      </c>
      <c r="P413">
        <v>0</v>
      </c>
      <c r="Q413">
        <v>0</v>
      </c>
      <c r="R413">
        <v>4</v>
      </c>
    </row>
    <row r="414" spans="1:18" x14ac:dyDescent="0.3">
      <c r="A414">
        <v>413</v>
      </c>
      <c r="B414" t="s">
        <v>59</v>
      </c>
      <c r="C414" t="s">
        <v>611</v>
      </c>
      <c r="D414" t="str">
        <f>_xlfn.CONCAT(EmpTable[[#This Row],[First Name]],EmpTable[[#This Row],[Last Name]])</f>
        <v>AlaaHafiz</v>
      </c>
      <c r="E414" t="s">
        <v>307</v>
      </c>
      <c r="F414" s="1">
        <v>44008</v>
      </c>
      <c r="G414" s="2">
        <f ca="1">DATEDIF(EmpTable[[#This Row],[Start Date]],TODAY(),"Y")</f>
        <v>5</v>
      </c>
      <c r="H414" s="2" t="str" cm="1">
        <f t="array" aca="1" ref="H414" ca="1">_xlfn.IFS(G414&lt;=1,"Fresh",G414&lt;=3,"Junior",G414&lt;=7,"Teamlead",G414&gt;=7,"manger")</f>
        <v>Teamlead</v>
      </c>
      <c r="I414" t="s">
        <v>53</v>
      </c>
      <c r="J414" t="s">
        <v>18</v>
      </c>
      <c r="K414" t="s">
        <v>19</v>
      </c>
      <c r="L414">
        <v>2749</v>
      </c>
      <c r="M414">
        <v>32988</v>
      </c>
      <c r="N414">
        <v>3</v>
      </c>
      <c r="O414" t="str" cm="1">
        <f t="array" ref="O414">_xlfn.IFS(EmpTable[[#This Row],[Job Rate]] &lt;=1,"LOW",N414&lt;=2,"LOW",N414&lt;=3,"MEDIUM",N414&gt;4,"HIGH")</f>
        <v>MEDIUM</v>
      </c>
      <c r="P414">
        <v>5</v>
      </c>
      <c r="Q414">
        <v>4</v>
      </c>
      <c r="R414">
        <v>0</v>
      </c>
    </row>
    <row r="415" spans="1:18" x14ac:dyDescent="0.3">
      <c r="A415">
        <v>414</v>
      </c>
      <c r="B415" t="s">
        <v>612</v>
      </c>
      <c r="C415" t="s">
        <v>613</v>
      </c>
      <c r="D415" t="str">
        <f>_xlfn.CONCAT(EmpTable[[#This Row],[First Name]],EmpTable[[#This Row],[Last Name]])</f>
        <v>KamiliaSydu</v>
      </c>
      <c r="E415" t="s">
        <v>307</v>
      </c>
      <c r="F415" s="1">
        <v>43490</v>
      </c>
      <c r="G415" s="2">
        <f ca="1">DATEDIF(EmpTable[[#This Row],[Start Date]],TODAY(),"Y")</f>
        <v>7</v>
      </c>
      <c r="H415" s="2" t="str" cm="1">
        <f t="array" aca="1" ref="H415" ca="1">_xlfn.IFS(G415&lt;=1,"Fresh",G415&lt;=3,"Junior",G415&lt;=7,"Teamlead",G415&gt;=7,"manger")</f>
        <v>Teamlead</v>
      </c>
      <c r="I415" t="s">
        <v>50</v>
      </c>
      <c r="J415" t="s">
        <v>22</v>
      </c>
      <c r="K415" t="s">
        <v>19</v>
      </c>
      <c r="L415">
        <v>2617</v>
      </c>
      <c r="M415">
        <v>31404</v>
      </c>
      <c r="N415">
        <v>4.5</v>
      </c>
      <c r="O415" t="str" cm="1">
        <f t="array" ref="O415">_xlfn.IFS(EmpTable[[#This Row],[Job Rate]] &lt;=1,"LOW",N415&lt;=2,"LOW",N415&lt;=3,"MEDIUM",N415&gt;4,"HIGH")</f>
        <v>HIGH</v>
      </c>
      <c r="P415">
        <v>1</v>
      </c>
      <c r="Q415">
        <v>0</v>
      </c>
      <c r="R415">
        <v>5</v>
      </c>
    </row>
    <row r="416" spans="1:18" x14ac:dyDescent="0.3">
      <c r="A416">
        <v>415</v>
      </c>
      <c r="B416" t="s">
        <v>186</v>
      </c>
      <c r="C416" t="s">
        <v>614</v>
      </c>
      <c r="D416" t="str">
        <f>_xlfn.CONCAT(EmpTable[[#This Row],[First Name]],EmpTable[[#This Row],[Last Name]])</f>
        <v>AliMarwan</v>
      </c>
      <c r="E416" t="s">
        <v>32</v>
      </c>
      <c r="F416" s="1">
        <v>43697</v>
      </c>
      <c r="G416" s="2">
        <f ca="1">DATEDIF(EmpTable[[#This Row],[Start Date]],TODAY(),"Y")</f>
        <v>6</v>
      </c>
      <c r="H416" s="2" t="str" cm="1">
        <f t="array" aca="1" ref="H416" ca="1">_xlfn.IFS(G416&lt;=1,"Fresh",G416&lt;=3,"Junior",G416&lt;=7,"Teamlead",G416&gt;=7,"manger")</f>
        <v>Teamlead</v>
      </c>
      <c r="I416" t="s">
        <v>50</v>
      </c>
      <c r="J416" t="s">
        <v>29</v>
      </c>
      <c r="K416" t="s">
        <v>36</v>
      </c>
      <c r="L416">
        <v>1680</v>
      </c>
      <c r="M416">
        <v>20160</v>
      </c>
      <c r="N416">
        <v>5</v>
      </c>
      <c r="O416" t="str" cm="1">
        <f t="array" ref="O416">_xlfn.IFS(EmpTable[[#This Row],[Job Rate]] &lt;=1,"LOW",N416&lt;=2,"LOW",N416&lt;=3,"MEDIUM",N416&gt;4,"HIGH")</f>
        <v>HIGH</v>
      </c>
      <c r="P416">
        <v>1</v>
      </c>
      <c r="Q416">
        <v>0</v>
      </c>
      <c r="R416">
        <v>35</v>
      </c>
    </row>
    <row r="417" spans="1:18" x14ac:dyDescent="0.3">
      <c r="A417">
        <v>416</v>
      </c>
      <c r="B417" t="s">
        <v>219</v>
      </c>
      <c r="C417" t="s">
        <v>328</v>
      </c>
      <c r="D417" t="str">
        <f>_xlfn.CONCAT(EmpTable[[#This Row],[First Name]],EmpTable[[#This Row],[Last Name]])</f>
        <v>MahirAlmarstani</v>
      </c>
      <c r="E417" t="s">
        <v>32</v>
      </c>
      <c r="F417" s="1">
        <v>43899</v>
      </c>
      <c r="G417" s="2">
        <f ca="1">DATEDIF(EmpTable[[#This Row],[Start Date]],TODAY(),"Y")</f>
        <v>6</v>
      </c>
      <c r="H417" s="2" t="str" cm="1">
        <f t="array" aca="1" ref="H417" ca="1">_xlfn.IFS(G417&lt;=1,"Fresh",G417&lt;=3,"Junior",G417&lt;=7,"Teamlead",G417&gt;=7,"manger")</f>
        <v>Teamlead</v>
      </c>
      <c r="I417" t="s">
        <v>45</v>
      </c>
      <c r="J417" t="s">
        <v>18</v>
      </c>
      <c r="K417" t="s">
        <v>42</v>
      </c>
      <c r="L417">
        <v>2824</v>
      </c>
      <c r="M417">
        <v>33888</v>
      </c>
      <c r="N417">
        <v>3</v>
      </c>
      <c r="O417" t="str" cm="1">
        <f t="array" ref="O417">_xlfn.IFS(EmpTable[[#This Row],[Job Rate]] &lt;=1,"LOW",N417&lt;=2,"LOW",N417&lt;=3,"MEDIUM",N417&gt;4,"HIGH")</f>
        <v>MEDIUM</v>
      </c>
      <c r="P417">
        <v>3</v>
      </c>
      <c r="Q417">
        <v>0</v>
      </c>
      <c r="R417">
        <v>3</v>
      </c>
    </row>
    <row r="418" spans="1:18" x14ac:dyDescent="0.3">
      <c r="A418">
        <v>417</v>
      </c>
      <c r="B418" t="s">
        <v>615</v>
      </c>
      <c r="C418" t="s">
        <v>616</v>
      </c>
      <c r="D418" t="str">
        <f>_xlfn.CONCAT(EmpTable[[#This Row],[First Name]],EmpTable[[#This Row],[Last Name]])</f>
        <v>RwadAlddahir</v>
      </c>
      <c r="E418" t="s">
        <v>307</v>
      </c>
      <c r="F418" s="1">
        <v>43004</v>
      </c>
      <c r="G418" s="2">
        <f ca="1">DATEDIF(EmpTable[[#This Row],[Start Date]],TODAY(),"Y")</f>
        <v>8</v>
      </c>
      <c r="H418" s="2" t="str" cm="1">
        <f t="array" aca="1" ref="H418" ca="1">_xlfn.IFS(G418&lt;=1,"Fresh",G418&lt;=3,"Junior",G418&lt;=7,"Teamlead",G418&gt;=7,"manger")</f>
        <v>manger</v>
      </c>
      <c r="I418" t="s">
        <v>35</v>
      </c>
      <c r="J418" t="s">
        <v>18</v>
      </c>
      <c r="K418" t="s">
        <v>19</v>
      </c>
      <c r="L418">
        <v>1646</v>
      </c>
      <c r="M418">
        <v>19752</v>
      </c>
      <c r="N418">
        <v>5</v>
      </c>
      <c r="O418" t="str" cm="1">
        <f t="array" ref="O418">_xlfn.IFS(EmpTable[[#This Row],[Job Rate]] &lt;=1,"LOW",N418&lt;=2,"LOW",N418&lt;=3,"MEDIUM",N418&gt;4,"HIGH")</f>
        <v>HIGH</v>
      </c>
      <c r="P418">
        <v>0</v>
      </c>
      <c r="Q418">
        <v>0</v>
      </c>
      <c r="R418">
        <v>7</v>
      </c>
    </row>
    <row r="419" spans="1:18" x14ac:dyDescent="0.3">
      <c r="A419">
        <v>418</v>
      </c>
      <c r="B419" t="s">
        <v>617</v>
      </c>
      <c r="C419" t="s">
        <v>618</v>
      </c>
      <c r="D419" t="str">
        <f>_xlfn.CONCAT(EmpTable[[#This Row],[First Name]],EmpTable[[#This Row],[Last Name]])</f>
        <v>JuryEabuwd</v>
      </c>
      <c r="E419" t="s">
        <v>307</v>
      </c>
      <c r="F419" s="1">
        <v>43438</v>
      </c>
      <c r="G419" s="2">
        <f ca="1">DATEDIF(EmpTable[[#This Row],[Start Date]],TODAY(),"Y")</f>
        <v>7</v>
      </c>
      <c r="H419" s="2" t="str" cm="1">
        <f t="array" aca="1" ref="H419" ca="1">_xlfn.IFS(G419&lt;=1,"Fresh",G419&lt;=3,"Junior",G419&lt;=7,"Teamlead",G419&gt;=7,"manger")</f>
        <v>Teamlead</v>
      </c>
      <c r="I419" t="s">
        <v>17</v>
      </c>
      <c r="J419" t="s">
        <v>18</v>
      </c>
      <c r="K419" t="s">
        <v>60</v>
      </c>
      <c r="L419">
        <v>979</v>
      </c>
      <c r="M419">
        <v>11748</v>
      </c>
      <c r="N419">
        <v>5</v>
      </c>
      <c r="O419" t="str" cm="1">
        <f t="array" ref="O419">_xlfn.IFS(EmpTable[[#This Row],[Job Rate]] &lt;=1,"LOW",N419&lt;=2,"LOW",N419&lt;=3,"MEDIUM",N419&gt;4,"HIGH")</f>
        <v>HIGH</v>
      </c>
      <c r="P419">
        <v>5</v>
      </c>
      <c r="Q419">
        <v>0</v>
      </c>
      <c r="R419">
        <v>8</v>
      </c>
    </row>
    <row r="420" spans="1:18" x14ac:dyDescent="0.3">
      <c r="A420">
        <v>419</v>
      </c>
      <c r="B420" t="s">
        <v>619</v>
      </c>
      <c r="C420" t="s">
        <v>620</v>
      </c>
      <c r="D420" t="str">
        <f>_xlfn.CONCAT(EmpTable[[#This Row],[First Name]],EmpTable[[#This Row],[Last Name]])</f>
        <v>SaybanMusur</v>
      </c>
      <c r="E420" t="s">
        <v>307</v>
      </c>
      <c r="F420" s="1">
        <v>43467</v>
      </c>
      <c r="G420" s="2">
        <f ca="1">DATEDIF(EmpTable[[#This Row],[Start Date]],TODAY(),"Y")</f>
        <v>7</v>
      </c>
      <c r="H420" s="2" t="str" cm="1">
        <f t="array" aca="1" ref="H420" ca="1">_xlfn.IFS(G420&lt;=1,"Fresh",G420&lt;=3,"Junior",G420&lt;=7,"Teamlead",G420&gt;=7,"manger")</f>
        <v>Teamlead</v>
      </c>
      <c r="I420" t="s">
        <v>77</v>
      </c>
      <c r="J420" t="s">
        <v>48</v>
      </c>
      <c r="K420" t="s">
        <v>19</v>
      </c>
      <c r="L420">
        <v>1274</v>
      </c>
      <c r="M420">
        <v>15288</v>
      </c>
      <c r="N420">
        <v>3</v>
      </c>
      <c r="O420" t="str" cm="1">
        <f t="array" ref="O420">_xlfn.IFS(EmpTable[[#This Row],[Job Rate]] &lt;=1,"LOW",N420&lt;=2,"LOW",N420&lt;=3,"MEDIUM",N420&gt;4,"HIGH")</f>
        <v>MEDIUM</v>
      </c>
      <c r="P420">
        <v>0</v>
      </c>
      <c r="Q420">
        <v>0</v>
      </c>
      <c r="R420">
        <v>7</v>
      </c>
    </row>
    <row r="421" spans="1:18" x14ac:dyDescent="0.3">
      <c r="A421">
        <v>420</v>
      </c>
      <c r="B421" t="s">
        <v>426</v>
      </c>
      <c r="C421" t="s">
        <v>437</v>
      </c>
      <c r="D421" t="str">
        <f>_xlfn.CONCAT(EmpTable[[#This Row],[First Name]],EmpTable[[#This Row],[Last Name]])</f>
        <v>DianaMuayid</v>
      </c>
      <c r="E421" t="s">
        <v>307</v>
      </c>
      <c r="F421" s="1">
        <v>43765</v>
      </c>
      <c r="G421" s="2">
        <f ca="1">DATEDIF(EmpTable[[#This Row],[Start Date]],TODAY(),"Y")</f>
        <v>6</v>
      </c>
      <c r="H421" s="2" t="str" cm="1">
        <f t="array" aca="1" ref="H421" ca="1">_xlfn.IFS(G421&lt;=1,"Fresh",G421&lt;=3,"Junior",G421&lt;=7,"Teamlead",G421&gt;=7,"manger")</f>
        <v>Teamlead</v>
      </c>
      <c r="I421" t="s">
        <v>53</v>
      </c>
      <c r="J421" t="s">
        <v>18</v>
      </c>
      <c r="K421" t="s">
        <v>36</v>
      </c>
      <c r="L421">
        <v>2715</v>
      </c>
      <c r="M421">
        <v>32580</v>
      </c>
      <c r="N421">
        <v>2</v>
      </c>
      <c r="O421" t="str" cm="1">
        <f t="array" ref="O421">_xlfn.IFS(EmpTable[[#This Row],[Job Rate]] &lt;=1,"LOW",N421&lt;=2,"LOW",N421&lt;=3,"MEDIUM",N421&gt;4,"HIGH")</f>
        <v>LOW</v>
      </c>
      <c r="P421">
        <v>0</v>
      </c>
      <c r="Q421">
        <v>0</v>
      </c>
      <c r="R421">
        <v>3</v>
      </c>
    </row>
    <row r="422" spans="1:18" x14ac:dyDescent="0.3">
      <c r="A422">
        <v>421</v>
      </c>
      <c r="B422" t="s">
        <v>621</v>
      </c>
      <c r="C422" t="s">
        <v>622</v>
      </c>
      <c r="D422" t="str">
        <f>_xlfn.CONCAT(EmpTable[[#This Row],[First Name]],EmpTable[[#This Row],[Last Name]])</f>
        <v>LbybFahd</v>
      </c>
      <c r="E422" t="s">
        <v>32</v>
      </c>
      <c r="F422" s="1">
        <v>43781</v>
      </c>
      <c r="G422" s="2">
        <f ca="1">DATEDIF(EmpTable[[#This Row],[Start Date]],TODAY(),"Y")</f>
        <v>6</v>
      </c>
      <c r="H422" s="2" t="str" cm="1">
        <f t="array" aca="1" ref="H422" ca="1">_xlfn.IFS(G422&lt;=1,"Fresh",G422&lt;=3,"Junior",G422&lt;=7,"Teamlead",G422&gt;=7,"manger")</f>
        <v>Teamlead</v>
      </c>
      <c r="I422" t="s">
        <v>28</v>
      </c>
      <c r="J422" t="s">
        <v>48</v>
      </c>
      <c r="K422" t="s">
        <v>36</v>
      </c>
      <c r="L422">
        <v>1158</v>
      </c>
      <c r="M422">
        <v>13896</v>
      </c>
      <c r="N422">
        <v>5</v>
      </c>
      <c r="O422" t="str" cm="1">
        <f t="array" ref="O422">_xlfn.IFS(EmpTable[[#This Row],[Job Rate]] &lt;=1,"LOW",N422&lt;=2,"LOW",N422&lt;=3,"MEDIUM",N422&gt;4,"HIGH")</f>
        <v>HIGH</v>
      </c>
      <c r="P422">
        <v>0</v>
      </c>
      <c r="Q422">
        <v>0</v>
      </c>
      <c r="R422">
        <v>0</v>
      </c>
    </row>
    <row r="423" spans="1:18" x14ac:dyDescent="0.3">
      <c r="A423">
        <v>422</v>
      </c>
      <c r="B423" t="s">
        <v>223</v>
      </c>
      <c r="C423" t="s">
        <v>623</v>
      </c>
      <c r="D423" t="str">
        <f>_xlfn.CONCAT(EmpTable[[#This Row],[First Name]],EmpTable[[#This Row],[Last Name]])</f>
        <v>BashsharBilul</v>
      </c>
      <c r="E423" t="s">
        <v>32</v>
      </c>
      <c r="F423" s="1">
        <v>43314</v>
      </c>
      <c r="G423" s="2">
        <f ca="1">DATEDIF(EmpTable[[#This Row],[Start Date]],TODAY(),"Y")</f>
        <v>7</v>
      </c>
      <c r="H423" s="2" t="str" cm="1">
        <f t="array" aca="1" ref="H423" ca="1">_xlfn.IFS(G423&lt;=1,"Fresh",G423&lt;=3,"Junior",G423&lt;=7,"Teamlead",G423&gt;=7,"manger")</f>
        <v>Teamlead</v>
      </c>
      <c r="I423" t="s">
        <v>58</v>
      </c>
      <c r="J423" t="s">
        <v>18</v>
      </c>
      <c r="K423" t="s">
        <v>898</v>
      </c>
      <c r="L423">
        <v>1986</v>
      </c>
      <c r="M423">
        <v>23832</v>
      </c>
      <c r="N423">
        <v>3</v>
      </c>
      <c r="O423" t="str" cm="1">
        <f t="array" ref="O423">_xlfn.IFS(EmpTable[[#This Row],[Job Rate]] &lt;=1,"LOW",N423&lt;=2,"LOW",N423&lt;=3,"MEDIUM",N423&gt;4,"HIGH")</f>
        <v>MEDIUM</v>
      </c>
      <c r="P423">
        <v>1</v>
      </c>
      <c r="Q423">
        <v>0</v>
      </c>
      <c r="R423">
        <v>14</v>
      </c>
    </row>
    <row r="424" spans="1:18" x14ac:dyDescent="0.3">
      <c r="A424">
        <v>423</v>
      </c>
      <c r="B424" t="s">
        <v>186</v>
      </c>
      <c r="C424" t="s">
        <v>624</v>
      </c>
      <c r="D424" t="str">
        <f>_xlfn.CONCAT(EmpTable[[#This Row],[First Name]],EmpTable[[#This Row],[Last Name]])</f>
        <v>AliAlnuwri</v>
      </c>
      <c r="E424" t="s">
        <v>32</v>
      </c>
      <c r="F424" s="1">
        <v>43826</v>
      </c>
      <c r="G424" s="2">
        <f ca="1">DATEDIF(EmpTable[[#This Row],[Start Date]],TODAY(),"Y")</f>
        <v>6</v>
      </c>
      <c r="H424" s="2" t="str" cm="1">
        <f t="array" aca="1" ref="H424" ca="1">_xlfn.IFS(G424&lt;=1,"Fresh",G424&lt;=3,"Junior",G424&lt;=7,"Teamlead",G424&gt;=7,"manger")</f>
        <v>Teamlead</v>
      </c>
      <c r="I424" t="s">
        <v>28</v>
      </c>
      <c r="J424" t="s">
        <v>22</v>
      </c>
      <c r="K424" t="s">
        <v>60</v>
      </c>
      <c r="L424">
        <v>3299</v>
      </c>
      <c r="M424">
        <v>39588</v>
      </c>
      <c r="N424">
        <v>5</v>
      </c>
      <c r="O424" t="str" cm="1">
        <f t="array" ref="O424">_xlfn.IFS(EmpTable[[#This Row],[Job Rate]] &lt;=1,"LOW",N424&lt;=2,"LOW",N424&lt;=3,"MEDIUM",N424&gt;4,"HIGH")</f>
        <v>HIGH</v>
      </c>
      <c r="P424">
        <v>1</v>
      </c>
      <c r="Q424">
        <v>0</v>
      </c>
      <c r="R424">
        <v>0</v>
      </c>
    </row>
    <row r="425" spans="1:18" x14ac:dyDescent="0.3">
      <c r="A425">
        <v>424</v>
      </c>
      <c r="B425" t="s">
        <v>66</v>
      </c>
      <c r="C425" t="s">
        <v>427</v>
      </c>
      <c r="D425" t="str">
        <f>_xlfn.CONCAT(EmpTable[[#This Row],[First Name]],EmpTable[[#This Row],[Last Name]])</f>
        <v>SalimAleabd</v>
      </c>
      <c r="E425" t="s">
        <v>32</v>
      </c>
      <c r="F425" s="1">
        <v>43062</v>
      </c>
      <c r="G425" s="2">
        <f ca="1">DATEDIF(EmpTable[[#This Row],[Start Date]],TODAY(),"Y")</f>
        <v>8</v>
      </c>
      <c r="H425" s="2" t="str" cm="1">
        <f t="array" aca="1" ref="H425" ca="1">_xlfn.IFS(G425&lt;=1,"Fresh",G425&lt;=3,"Junior",G425&lt;=7,"Teamlead",G425&gt;=7,"manger")</f>
        <v>manger</v>
      </c>
      <c r="I425" t="s">
        <v>17</v>
      </c>
      <c r="J425" t="s">
        <v>18</v>
      </c>
      <c r="K425" t="s">
        <v>42</v>
      </c>
      <c r="L425">
        <v>2405</v>
      </c>
      <c r="M425">
        <v>28860</v>
      </c>
      <c r="N425">
        <v>5</v>
      </c>
      <c r="O425" t="str" cm="1">
        <f t="array" ref="O425">_xlfn.IFS(EmpTable[[#This Row],[Job Rate]] &lt;=1,"LOW",N425&lt;=2,"LOW",N425&lt;=3,"MEDIUM",N425&gt;4,"HIGH")</f>
        <v>HIGH</v>
      </c>
      <c r="P425">
        <v>0</v>
      </c>
      <c r="Q425">
        <v>0</v>
      </c>
      <c r="R425">
        <v>97</v>
      </c>
    </row>
    <row r="426" spans="1:18" x14ac:dyDescent="0.3">
      <c r="A426">
        <v>425</v>
      </c>
      <c r="B426" t="s">
        <v>263</v>
      </c>
      <c r="C426" t="s">
        <v>625</v>
      </c>
      <c r="D426" t="str">
        <f>_xlfn.CONCAT(EmpTable[[#This Row],[First Name]],EmpTable[[#This Row],[Last Name]])</f>
        <v>Abd AlruhminAllaham</v>
      </c>
      <c r="E426" t="s">
        <v>32</v>
      </c>
      <c r="F426" s="1">
        <v>44027</v>
      </c>
      <c r="G426" s="2">
        <f ca="1">DATEDIF(EmpTable[[#This Row],[Start Date]],TODAY(),"Y")</f>
        <v>5</v>
      </c>
      <c r="H426" s="2" t="str" cm="1">
        <f t="array" aca="1" ref="H426" ca="1">_xlfn.IFS(G426&lt;=1,"Fresh",G426&lt;=3,"Junior",G426&lt;=7,"Teamlead",G426&gt;=7,"manger")</f>
        <v>Teamlead</v>
      </c>
      <c r="I426" t="s">
        <v>53</v>
      </c>
      <c r="J426" t="s">
        <v>18</v>
      </c>
      <c r="K426" t="s">
        <v>36</v>
      </c>
      <c r="L426">
        <v>2205</v>
      </c>
      <c r="M426">
        <v>26460</v>
      </c>
      <c r="N426">
        <v>3</v>
      </c>
      <c r="O426" t="str" cm="1">
        <f t="array" ref="O426">_xlfn.IFS(EmpTable[[#This Row],[Job Rate]] &lt;=1,"LOW",N426&lt;=2,"LOW",N426&lt;=3,"MEDIUM",N426&gt;4,"HIGH")</f>
        <v>MEDIUM</v>
      </c>
      <c r="P426">
        <v>0</v>
      </c>
      <c r="Q426">
        <v>0</v>
      </c>
      <c r="R426">
        <v>4</v>
      </c>
    </row>
    <row r="427" spans="1:18" x14ac:dyDescent="0.3">
      <c r="A427">
        <v>426</v>
      </c>
      <c r="B427" t="s">
        <v>33</v>
      </c>
      <c r="C427" t="s">
        <v>626</v>
      </c>
      <c r="D427" t="str">
        <f>_xlfn.CONCAT(EmpTable[[#This Row],[First Name]],EmpTable[[#This Row],[Last Name]])</f>
        <v>MuhamadRaft</v>
      </c>
      <c r="E427" t="s">
        <v>32</v>
      </c>
      <c r="F427" s="1">
        <v>42562</v>
      </c>
      <c r="G427" s="2">
        <f ca="1">DATEDIF(EmpTable[[#This Row],[Start Date]],TODAY(),"Y")</f>
        <v>9</v>
      </c>
      <c r="H427" s="2" t="str" cm="1">
        <f t="array" aca="1" ref="H427" ca="1">_xlfn.IFS(G427&lt;=1,"Fresh",G427&lt;=3,"Junior",G427&lt;=7,"Teamlead",G427&gt;=7,"manger")</f>
        <v>manger</v>
      </c>
      <c r="I427" t="s">
        <v>28</v>
      </c>
      <c r="J427" t="s">
        <v>18</v>
      </c>
      <c r="K427" t="s">
        <v>898</v>
      </c>
      <c r="L427">
        <v>2651</v>
      </c>
      <c r="M427">
        <v>31812</v>
      </c>
      <c r="N427">
        <v>3</v>
      </c>
      <c r="O427" t="str" cm="1">
        <f t="array" ref="O427">_xlfn.IFS(EmpTable[[#This Row],[Job Rate]] &lt;=1,"LOW",N427&lt;=2,"LOW",N427&lt;=3,"MEDIUM",N427&gt;4,"HIGH")</f>
        <v>MEDIUM</v>
      </c>
      <c r="P427">
        <v>0</v>
      </c>
      <c r="Q427">
        <v>0</v>
      </c>
      <c r="R427">
        <v>6</v>
      </c>
    </row>
    <row r="428" spans="1:18" x14ac:dyDescent="0.3">
      <c r="A428">
        <v>427</v>
      </c>
      <c r="B428" t="s">
        <v>30</v>
      </c>
      <c r="C428" t="s">
        <v>231</v>
      </c>
      <c r="D428" t="str">
        <f>_xlfn.CONCAT(EmpTable[[#This Row],[First Name]],EmpTable[[#This Row],[Last Name]])</f>
        <v>AhmadShakir</v>
      </c>
      <c r="E428" t="s">
        <v>32</v>
      </c>
      <c r="F428" s="1">
        <v>43615</v>
      </c>
      <c r="G428" s="2">
        <f ca="1">DATEDIF(EmpTable[[#This Row],[Start Date]],TODAY(),"Y")</f>
        <v>6</v>
      </c>
      <c r="H428" s="2" t="str" cm="1">
        <f t="array" aca="1" ref="H428" ca="1">_xlfn.IFS(G428&lt;=1,"Fresh",G428&lt;=3,"Junior",G428&lt;=7,"Teamlead",G428&gt;=7,"manger")</f>
        <v>Teamlead</v>
      </c>
      <c r="I428" t="s">
        <v>41</v>
      </c>
      <c r="J428" t="s">
        <v>18</v>
      </c>
      <c r="K428" t="s">
        <v>36</v>
      </c>
      <c r="L428">
        <v>1693</v>
      </c>
      <c r="M428">
        <v>20316</v>
      </c>
      <c r="N428">
        <v>4.5</v>
      </c>
      <c r="O428" t="str" cm="1">
        <f t="array" ref="O428">_xlfn.IFS(EmpTable[[#This Row],[Job Rate]] &lt;=1,"LOW",N428&lt;=2,"LOW",N428&lt;=3,"MEDIUM",N428&gt;4,"HIGH")</f>
        <v>HIGH</v>
      </c>
      <c r="P428">
        <v>2</v>
      </c>
      <c r="Q428">
        <v>5</v>
      </c>
      <c r="R428">
        <v>6</v>
      </c>
    </row>
    <row r="429" spans="1:18" x14ac:dyDescent="0.3">
      <c r="A429">
        <v>428</v>
      </c>
      <c r="B429" t="s">
        <v>172</v>
      </c>
      <c r="C429" t="s">
        <v>627</v>
      </c>
      <c r="D429" t="str">
        <f>_xlfn.CONCAT(EmpTable[[#This Row],[First Name]],EmpTable[[#This Row],[Last Name]])</f>
        <v>RashaAsead</v>
      </c>
      <c r="E429" t="s">
        <v>307</v>
      </c>
      <c r="F429" s="1">
        <v>43821</v>
      </c>
      <c r="G429" s="2">
        <f ca="1">DATEDIF(EmpTable[[#This Row],[Start Date]],TODAY(),"Y")</f>
        <v>6</v>
      </c>
      <c r="H429" s="2" t="str" cm="1">
        <f t="array" aca="1" ref="H429" ca="1">_xlfn.IFS(G429&lt;=1,"Fresh",G429&lt;=3,"Junior",G429&lt;=7,"Teamlead",G429&gt;=7,"manger")</f>
        <v>Teamlead</v>
      </c>
      <c r="I429" t="s">
        <v>39</v>
      </c>
      <c r="J429" t="s">
        <v>18</v>
      </c>
      <c r="K429" t="s">
        <v>42</v>
      </c>
      <c r="L429">
        <v>1690</v>
      </c>
      <c r="M429">
        <v>20280</v>
      </c>
      <c r="N429">
        <v>1</v>
      </c>
      <c r="O429" t="str" cm="1">
        <f t="array" ref="O429">_xlfn.IFS(EmpTable[[#This Row],[Job Rate]] &lt;=1,"LOW",N429&lt;=2,"LOW",N429&lt;=3,"MEDIUM",N429&gt;4,"HIGH")</f>
        <v>LOW</v>
      </c>
      <c r="P429">
        <v>0</v>
      </c>
      <c r="Q429">
        <v>0</v>
      </c>
      <c r="R429">
        <v>6</v>
      </c>
    </row>
    <row r="430" spans="1:18" x14ac:dyDescent="0.3">
      <c r="A430">
        <v>429</v>
      </c>
      <c r="B430" t="s">
        <v>20</v>
      </c>
      <c r="C430" t="s">
        <v>628</v>
      </c>
      <c r="D430" t="str">
        <f>_xlfn.CONCAT(EmpTable[[#This Row],[First Name]],EmpTable[[#This Row],[Last Name]])</f>
        <v>OmarAlwurhani</v>
      </c>
      <c r="E430" t="s">
        <v>32</v>
      </c>
      <c r="F430" s="1">
        <v>43499</v>
      </c>
      <c r="G430" s="2">
        <f ca="1">DATEDIF(EmpTable[[#This Row],[Start Date]],TODAY(),"Y")</f>
        <v>7</v>
      </c>
      <c r="H430" s="2" t="str" cm="1">
        <f t="array" aca="1" ref="H430" ca="1">_xlfn.IFS(G430&lt;=1,"Fresh",G430&lt;=3,"Junior",G430&lt;=7,"Teamlead",G430&gt;=7,"manger")</f>
        <v>Teamlead</v>
      </c>
      <c r="I430" t="s">
        <v>41</v>
      </c>
      <c r="J430" t="s">
        <v>18</v>
      </c>
      <c r="K430" t="s">
        <v>42</v>
      </c>
      <c r="L430">
        <v>766</v>
      </c>
      <c r="M430">
        <v>9192</v>
      </c>
      <c r="N430">
        <v>3</v>
      </c>
      <c r="O430" t="str" cm="1">
        <f t="array" ref="O430">_xlfn.IFS(EmpTable[[#This Row],[Job Rate]] &lt;=1,"LOW",N430&lt;=2,"LOW",N430&lt;=3,"MEDIUM",N430&gt;4,"HIGH")</f>
        <v>MEDIUM</v>
      </c>
      <c r="P430">
        <v>0</v>
      </c>
      <c r="Q430">
        <v>0</v>
      </c>
      <c r="R430">
        <v>5</v>
      </c>
    </row>
    <row r="431" spans="1:18" x14ac:dyDescent="0.3">
      <c r="A431">
        <v>430</v>
      </c>
      <c r="B431" t="s">
        <v>67</v>
      </c>
      <c r="C431" t="s">
        <v>629</v>
      </c>
      <c r="D431" t="str">
        <f>_xlfn.CONCAT(EmpTable[[#This Row],[First Name]],EmpTable[[#This Row],[Last Name]])</f>
        <v>AyhamKharbutli</v>
      </c>
      <c r="E431" t="s">
        <v>32</v>
      </c>
      <c r="F431" s="1">
        <v>43661</v>
      </c>
      <c r="G431" s="2">
        <f ca="1">DATEDIF(EmpTable[[#This Row],[Start Date]],TODAY(),"Y")</f>
        <v>6</v>
      </c>
      <c r="H431" s="2" t="str" cm="1">
        <f t="array" aca="1" ref="H431" ca="1">_xlfn.IFS(G431&lt;=1,"Fresh",G431&lt;=3,"Junior",G431&lt;=7,"Teamlead",G431&gt;=7,"manger")</f>
        <v>Teamlead</v>
      </c>
      <c r="I431" t="s">
        <v>144</v>
      </c>
      <c r="J431" t="s">
        <v>18</v>
      </c>
      <c r="K431" t="s">
        <v>60</v>
      </c>
      <c r="L431">
        <v>2542</v>
      </c>
      <c r="M431">
        <v>30504</v>
      </c>
      <c r="N431">
        <v>3</v>
      </c>
      <c r="O431" t="str" cm="1">
        <f t="array" ref="O431">_xlfn.IFS(EmpTable[[#This Row],[Job Rate]] &lt;=1,"LOW",N431&lt;=2,"LOW",N431&lt;=3,"MEDIUM",N431&gt;4,"HIGH")</f>
        <v>MEDIUM</v>
      </c>
      <c r="P431">
        <v>1</v>
      </c>
      <c r="Q431">
        <v>0</v>
      </c>
      <c r="R431">
        <v>3</v>
      </c>
    </row>
    <row r="432" spans="1:18" x14ac:dyDescent="0.3">
      <c r="A432">
        <v>431</v>
      </c>
      <c r="B432" t="s">
        <v>210</v>
      </c>
      <c r="C432" t="s">
        <v>475</v>
      </c>
      <c r="D432" t="str">
        <f>_xlfn.CONCAT(EmpTable[[#This Row],[First Name]],EmpTable[[#This Row],[Last Name]])</f>
        <v>SaharJaridiun</v>
      </c>
      <c r="E432" t="s">
        <v>307</v>
      </c>
      <c r="F432" s="1">
        <v>42654</v>
      </c>
      <c r="G432" s="2">
        <f ca="1">DATEDIF(EmpTable[[#This Row],[Start Date]],TODAY(),"Y")</f>
        <v>9</v>
      </c>
      <c r="H432" s="2" t="str" cm="1">
        <f t="array" aca="1" ref="H432" ca="1">_xlfn.IFS(G432&lt;=1,"Fresh",G432&lt;=3,"Junior",G432&lt;=7,"Teamlead",G432&gt;=7,"manger")</f>
        <v>manger</v>
      </c>
      <c r="I432" t="s">
        <v>88</v>
      </c>
      <c r="J432" t="s">
        <v>29</v>
      </c>
      <c r="K432" t="s">
        <v>898</v>
      </c>
      <c r="L432">
        <v>1966</v>
      </c>
      <c r="M432">
        <v>23592</v>
      </c>
      <c r="N432">
        <v>4.5</v>
      </c>
      <c r="O432" t="str" cm="1">
        <f t="array" ref="O432">_xlfn.IFS(EmpTable[[#This Row],[Job Rate]] &lt;=1,"LOW",N432&lt;=2,"LOW",N432&lt;=3,"MEDIUM",N432&gt;4,"HIGH")</f>
        <v>HIGH</v>
      </c>
      <c r="P432">
        <v>0</v>
      </c>
      <c r="Q432">
        <v>0</v>
      </c>
      <c r="R432">
        <v>8</v>
      </c>
    </row>
    <row r="433" spans="1:18" x14ac:dyDescent="0.3">
      <c r="A433">
        <v>432</v>
      </c>
      <c r="B433" t="s">
        <v>33</v>
      </c>
      <c r="C433" t="s">
        <v>630</v>
      </c>
      <c r="D433" t="str">
        <f>_xlfn.CONCAT(EmpTable[[#This Row],[First Name]],EmpTable[[#This Row],[Last Name]])</f>
        <v>MuhamadTamur</v>
      </c>
      <c r="E433" t="s">
        <v>32</v>
      </c>
      <c r="F433" s="1">
        <v>43652</v>
      </c>
      <c r="G433" s="2">
        <f ca="1">DATEDIF(EmpTable[[#This Row],[Start Date]],TODAY(),"Y")</f>
        <v>6</v>
      </c>
      <c r="H433" s="2" t="str" cm="1">
        <f t="array" aca="1" ref="H433" ca="1">_xlfn.IFS(G433&lt;=1,"Fresh",G433&lt;=3,"Junior",G433&lt;=7,"Teamlead",G433&gt;=7,"manger")</f>
        <v>Teamlead</v>
      </c>
      <c r="I433" t="s">
        <v>28</v>
      </c>
      <c r="J433" t="s">
        <v>18</v>
      </c>
      <c r="K433" t="s">
        <v>42</v>
      </c>
      <c r="L433">
        <v>2977</v>
      </c>
      <c r="M433">
        <v>35724</v>
      </c>
      <c r="N433">
        <v>4.5</v>
      </c>
      <c r="O433" t="str" cm="1">
        <f t="array" ref="O433">_xlfn.IFS(EmpTable[[#This Row],[Job Rate]] &lt;=1,"LOW",N433&lt;=2,"LOW",N433&lt;=3,"MEDIUM",N433&gt;4,"HIGH")</f>
        <v>HIGH</v>
      </c>
      <c r="P433">
        <v>0</v>
      </c>
      <c r="Q433">
        <v>0</v>
      </c>
      <c r="R433">
        <v>8</v>
      </c>
    </row>
    <row r="434" spans="1:18" x14ac:dyDescent="0.3">
      <c r="A434">
        <v>433</v>
      </c>
      <c r="B434" t="s">
        <v>67</v>
      </c>
      <c r="C434" t="s">
        <v>631</v>
      </c>
      <c r="D434" t="str">
        <f>_xlfn.CONCAT(EmpTable[[#This Row],[First Name]],EmpTable[[#This Row],[Last Name]])</f>
        <v>AyhamAlkhlf</v>
      </c>
      <c r="E434" t="s">
        <v>32</v>
      </c>
      <c r="F434" s="1">
        <v>43043</v>
      </c>
      <c r="G434" s="2">
        <f ca="1">DATEDIF(EmpTable[[#This Row],[Start Date]],TODAY(),"Y")</f>
        <v>8</v>
      </c>
      <c r="H434" s="2" t="str" cm="1">
        <f t="array" aca="1" ref="H434" ca="1">_xlfn.IFS(G434&lt;=1,"Fresh",G434&lt;=3,"Junior",G434&lt;=7,"Teamlead",G434&gt;=7,"manger")</f>
        <v>manger</v>
      </c>
      <c r="I434" t="s">
        <v>77</v>
      </c>
      <c r="J434" t="s">
        <v>29</v>
      </c>
      <c r="K434" t="s">
        <v>42</v>
      </c>
      <c r="L434">
        <v>1404</v>
      </c>
      <c r="M434">
        <v>16848</v>
      </c>
      <c r="N434">
        <v>1</v>
      </c>
      <c r="O434" t="str" cm="1">
        <f t="array" ref="O434">_xlfn.IFS(EmpTable[[#This Row],[Job Rate]] &lt;=1,"LOW",N434&lt;=2,"LOW",N434&lt;=3,"MEDIUM",N434&gt;4,"HIGH")</f>
        <v>LOW</v>
      </c>
      <c r="P434">
        <v>5</v>
      </c>
      <c r="Q434">
        <v>0</v>
      </c>
      <c r="R434">
        <v>10</v>
      </c>
    </row>
    <row r="435" spans="1:18" x14ac:dyDescent="0.3">
      <c r="A435">
        <v>434</v>
      </c>
      <c r="B435" t="s">
        <v>295</v>
      </c>
      <c r="C435" t="s">
        <v>632</v>
      </c>
      <c r="D435" t="str">
        <f>_xlfn.CONCAT(EmpTable[[#This Row],[First Name]],EmpTable[[#This Row],[Last Name]])</f>
        <v>EmarEisaf</v>
      </c>
      <c r="E435" t="s">
        <v>307</v>
      </c>
      <c r="F435" s="1">
        <v>43136</v>
      </c>
      <c r="G435" s="2">
        <f ca="1">DATEDIF(EmpTable[[#This Row],[Start Date]],TODAY(),"Y")</f>
        <v>8</v>
      </c>
      <c r="H435" s="2" t="str" cm="1">
        <f t="array" aca="1" ref="H435" ca="1">_xlfn.IFS(G435&lt;=1,"Fresh",G435&lt;=3,"Junior",G435&lt;=7,"Teamlead",G435&gt;=7,"manger")</f>
        <v>manger</v>
      </c>
      <c r="I435" t="s">
        <v>17</v>
      </c>
      <c r="J435" t="s">
        <v>48</v>
      </c>
      <c r="K435" t="s">
        <v>36</v>
      </c>
      <c r="L435">
        <v>1848</v>
      </c>
      <c r="M435">
        <v>22176</v>
      </c>
      <c r="N435">
        <v>3</v>
      </c>
      <c r="O435" t="str" cm="1">
        <f t="array" ref="O435">_xlfn.IFS(EmpTable[[#This Row],[Job Rate]] &lt;=1,"LOW",N435&lt;=2,"LOW",N435&lt;=3,"MEDIUM",N435&gt;4,"HIGH")</f>
        <v>MEDIUM</v>
      </c>
      <c r="P435">
        <v>0</v>
      </c>
      <c r="Q435">
        <v>0</v>
      </c>
      <c r="R435">
        <v>2</v>
      </c>
    </row>
    <row r="436" spans="1:18" x14ac:dyDescent="0.3">
      <c r="A436">
        <v>435</v>
      </c>
      <c r="B436" t="s">
        <v>37</v>
      </c>
      <c r="C436" t="s">
        <v>633</v>
      </c>
      <c r="D436" t="str">
        <f>_xlfn.CONCAT(EmpTable[[#This Row],[First Name]],EmpTable[[#This Row],[Last Name]])</f>
        <v>IinBitahish</v>
      </c>
      <c r="E436" t="s">
        <v>307</v>
      </c>
      <c r="F436" s="1">
        <v>44082</v>
      </c>
      <c r="G436" s="2">
        <f ca="1">DATEDIF(EmpTable[[#This Row],[Start Date]],TODAY(),"Y")</f>
        <v>5</v>
      </c>
      <c r="H436" s="2" t="str" cm="1">
        <f t="array" aca="1" ref="H436" ca="1">_xlfn.IFS(G436&lt;=1,"Fresh",G436&lt;=3,"Junior",G436&lt;=7,"Teamlead",G436&gt;=7,"manger")</f>
        <v>Teamlead</v>
      </c>
      <c r="I436" t="s">
        <v>28</v>
      </c>
      <c r="J436" t="s">
        <v>18</v>
      </c>
      <c r="K436" t="s">
        <v>36</v>
      </c>
      <c r="L436">
        <v>2069</v>
      </c>
      <c r="M436">
        <v>24828</v>
      </c>
      <c r="N436">
        <v>3</v>
      </c>
      <c r="O436" t="str" cm="1">
        <f t="array" ref="O436">_xlfn.IFS(EmpTable[[#This Row],[Job Rate]] &lt;=1,"LOW",N436&lt;=2,"LOW",N436&lt;=3,"MEDIUM",N436&gt;4,"HIGH")</f>
        <v>MEDIUM</v>
      </c>
      <c r="P436">
        <v>2</v>
      </c>
      <c r="Q436">
        <v>5</v>
      </c>
      <c r="R436">
        <v>6</v>
      </c>
    </row>
    <row r="437" spans="1:18" x14ac:dyDescent="0.3">
      <c r="A437">
        <v>436</v>
      </c>
      <c r="B437" t="s">
        <v>634</v>
      </c>
      <c r="C437" t="s">
        <v>635</v>
      </c>
      <c r="D437" t="str">
        <f>_xlfn.CONCAT(EmpTable[[#This Row],[First Name]],EmpTable[[#This Row],[Last Name]])</f>
        <v>AbdalrhimEimaruh</v>
      </c>
      <c r="E437" t="s">
        <v>32</v>
      </c>
      <c r="F437" s="1">
        <v>44122</v>
      </c>
      <c r="G437" s="2">
        <f ca="1">DATEDIF(EmpTable[[#This Row],[Start Date]],TODAY(),"Y")</f>
        <v>5</v>
      </c>
      <c r="H437" s="2" t="str" cm="1">
        <f t="array" aca="1" ref="H437" ca="1">_xlfn.IFS(G437&lt;=1,"Fresh",G437&lt;=3,"Junior",G437&lt;=7,"Teamlead",G437&gt;=7,"manger")</f>
        <v>Teamlead</v>
      </c>
      <c r="I437" t="s">
        <v>77</v>
      </c>
      <c r="J437" t="s">
        <v>22</v>
      </c>
      <c r="K437" t="s">
        <v>36</v>
      </c>
      <c r="L437">
        <v>1072</v>
      </c>
      <c r="M437">
        <v>12864</v>
      </c>
      <c r="N437">
        <v>4.5</v>
      </c>
      <c r="O437" t="str" cm="1">
        <f t="array" ref="O437">_xlfn.IFS(EmpTable[[#This Row],[Job Rate]] &lt;=1,"LOW",N437&lt;=2,"LOW",N437&lt;=3,"MEDIUM",N437&gt;4,"HIGH")</f>
        <v>HIGH</v>
      </c>
      <c r="P437">
        <v>0</v>
      </c>
      <c r="Q437">
        <v>0</v>
      </c>
      <c r="R437">
        <v>6</v>
      </c>
    </row>
    <row r="438" spans="1:18" x14ac:dyDescent="0.3">
      <c r="A438">
        <v>437</v>
      </c>
      <c r="B438" t="s">
        <v>636</v>
      </c>
      <c r="C438" t="s">
        <v>637</v>
      </c>
      <c r="D438" t="str">
        <f>_xlfn.CONCAT(EmpTable[[#This Row],[First Name]],EmpTable[[#This Row],[Last Name]])</f>
        <v>BashaerHadalah</v>
      </c>
      <c r="E438" t="s">
        <v>307</v>
      </c>
      <c r="F438" s="1">
        <v>43813</v>
      </c>
      <c r="G438" s="2">
        <f ca="1">DATEDIF(EmpTable[[#This Row],[Start Date]],TODAY(),"Y")</f>
        <v>6</v>
      </c>
      <c r="H438" s="2" t="str" cm="1">
        <f t="array" aca="1" ref="H438" ca="1">_xlfn.IFS(G438&lt;=1,"Fresh",G438&lt;=3,"Junior",G438&lt;=7,"Teamlead",G438&gt;=7,"manger")</f>
        <v>Teamlead</v>
      </c>
      <c r="I438" t="s">
        <v>35</v>
      </c>
      <c r="J438" t="s">
        <v>18</v>
      </c>
      <c r="K438" t="s">
        <v>42</v>
      </c>
      <c r="L438">
        <v>1984</v>
      </c>
      <c r="M438">
        <v>23808</v>
      </c>
      <c r="N438">
        <v>1</v>
      </c>
      <c r="O438" t="str" cm="1">
        <f t="array" ref="O438">_xlfn.IFS(EmpTable[[#This Row],[Job Rate]] &lt;=1,"LOW",N438&lt;=2,"LOW",N438&lt;=3,"MEDIUM",N438&gt;4,"HIGH")</f>
        <v>LOW</v>
      </c>
      <c r="P438">
        <v>1</v>
      </c>
      <c r="Q438">
        <v>0</v>
      </c>
      <c r="R438">
        <v>8</v>
      </c>
    </row>
    <row r="439" spans="1:18" x14ac:dyDescent="0.3">
      <c r="A439">
        <v>438</v>
      </c>
      <c r="B439" t="s">
        <v>466</v>
      </c>
      <c r="C439" t="s">
        <v>638</v>
      </c>
      <c r="D439" t="str">
        <f>_xlfn.CONCAT(EmpTable[[#This Row],[First Name]],EmpTable[[#This Row],[Last Name]])</f>
        <v>SanaMaeruf</v>
      </c>
      <c r="E439" t="s">
        <v>307</v>
      </c>
      <c r="F439" s="1">
        <v>44064</v>
      </c>
      <c r="G439" s="2">
        <f ca="1">DATEDIF(EmpTable[[#This Row],[Start Date]],TODAY(),"Y")</f>
        <v>5</v>
      </c>
      <c r="H439" s="2" t="str" cm="1">
        <f t="array" aca="1" ref="H439" ca="1">_xlfn.IFS(G439&lt;=1,"Fresh",G439&lt;=3,"Junior",G439&lt;=7,"Teamlead",G439&gt;=7,"manger")</f>
        <v>Teamlead</v>
      </c>
      <c r="I439" t="s">
        <v>41</v>
      </c>
      <c r="J439" t="s">
        <v>18</v>
      </c>
      <c r="K439" t="s">
        <v>36</v>
      </c>
      <c r="L439">
        <v>999</v>
      </c>
      <c r="M439">
        <v>11988</v>
      </c>
      <c r="N439">
        <v>1</v>
      </c>
      <c r="O439" t="str" cm="1">
        <f t="array" ref="O439">_xlfn.IFS(EmpTable[[#This Row],[Job Rate]] &lt;=1,"LOW",N439&lt;=2,"LOW",N439&lt;=3,"MEDIUM",N439&gt;4,"HIGH")</f>
        <v>LOW</v>
      </c>
      <c r="P439">
        <v>5</v>
      </c>
      <c r="Q439">
        <v>0</v>
      </c>
      <c r="R439">
        <v>61</v>
      </c>
    </row>
    <row r="440" spans="1:18" x14ac:dyDescent="0.3">
      <c r="A440">
        <v>439</v>
      </c>
      <c r="B440" t="s">
        <v>302</v>
      </c>
      <c r="C440" t="s">
        <v>639</v>
      </c>
      <c r="D440" t="str">
        <f>_xlfn.CONCAT(EmpTable[[#This Row],[First Name]],EmpTable[[#This Row],[Last Name]])</f>
        <v>AmirAlnuwnu</v>
      </c>
      <c r="E440" t="s">
        <v>32</v>
      </c>
      <c r="F440" s="1">
        <v>43966</v>
      </c>
      <c r="G440" s="2">
        <f ca="1">DATEDIF(EmpTable[[#This Row],[Start Date]],TODAY(),"Y")</f>
        <v>5</v>
      </c>
      <c r="H440" s="2" t="str" cm="1">
        <f t="array" aca="1" ref="H440" ca="1">_xlfn.IFS(G440&lt;=1,"Fresh",G440&lt;=3,"Junior",G440&lt;=7,"Teamlead",G440&gt;=7,"manger")</f>
        <v>Teamlead</v>
      </c>
      <c r="I440" t="s">
        <v>17</v>
      </c>
      <c r="J440" t="s">
        <v>48</v>
      </c>
      <c r="K440" t="s">
        <v>19</v>
      </c>
      <c r="L440">
        <v>2915</v>
      </c>
      <c r="M440">
        <v>34980</v>
      </c>
      <c r="N440">
        <v>3</v>
      </c>
      <c r="O440" t="str" cm="1">
        <f t="array" ref="O440">_xlfn.IFS(EmpTable[[#This Row],[Job Rate]] &lt;=1,"LOW",N440&lt;=2,"LOW",N440&lt;=3,"MEDIUM",N440&gt;4,"HIGH")</f>
        <v>MEDIUM</v>
      </c>
      <c r="P440">
        <v>0</v>
      </c>
      <c r="Q440">
        <v>0</v>
      </c>
      <c r="R440">
        <v>5</v>
      </c>
    </row>
    <row r="441" spans="1:18" x14ac:dyDescent="0.3">
      <c r="A441">
        <v>440</v>
      </c>
      <c r="B441" t="s">
        <v>66</v>
      </c>
      <c r="C441" t="s">
        <v>640</v>
      </c>
      <c r="D441" t="str">
        <f>_xlfn.CONCAT(EmpTable[[#This Row],[First Name]],EmpTable[[#This Row],[Last Name]])</f>
        <v>SalimAlbarghali</v>
      </c>
      <c r="E441" t="s">
        <v>32</v>
      </c>
      <c r="F441" s="1">
        <v>43770</v>
      </c>
      <c r="G441" s="2">
        <f ca="1">DATEDIF(EmpTable[[#This Row],[Start Date]],TODAY(),"Y")</f>
        <v>6</v>
      </c>
      <c r="H441" s="2" t="str" cm="1">
        <f t="array" aca="1" ref="H441" ca="1">_xlfn.IFS(G441&lt;=1,"Fresh",G441&lt;=3,"Junior",G441&lt;=7,"Teamlead",G441&gt;=7,"manger")</f>
        <v>Teamlead</v>
      </c>
      <c r="I441" t="s">
        <v>53</v>
      </c>
      <c r="J441" t="s">
        <v>18</v>
      </c>
      <c r="K441" t="s">
        <v>898</v>
      </c>
      <c r="L441">
        <v>3158</v>
      </c>
      <c r="M441">
        <v>37896</v>
      </c>
      <c r="N441">
        <v>4.5</v>
      </c>
      <c r="O441" t="str" cm="1">
        <f t="array" ref="O441">_xlfn.IFS(EmpTable[[#This Row],[Job Rate]] &lt;=1,"LOW",N441&lt;=2,"LOW",N441&lt;=3,"MEDIUM",N441&gt;4,"HIGH")</f>
        <v>HIGH</v>
      </c>
      <c r="P441">
        <v>3</v>
      </c>
      <c r="Q441">
        <v>0</v>
      </c>
      <c r="R441">
        <v>7</v>
      </c>
    </row>
    <row r="442" spans="1:18" x14ac:dyDescent="0.3">
      <c r="A442">
        <v>441</v>
      </c>
      <c r="B442" t="s">
        <v>37</v>
      </c>
      <c r="C442" t="s">
        <v>340</v>
      </c>
      <c r="D442" t="str">
        <f>_xlfn.CONCAT(EmpTable[[#This Row],[First Name]],EmpTable[[#This Row],[Last Name]])</f>
        <v>IinMurad</v>
      </c>
      <c r="E442" t="s">
        <v>307</v>
      </c>
      <c r="F442" s="1">
        <v>42977</v>
      </c>
      <c r="G442" s="2">
        <f ca="1">DATEDIF(EmpTable[[#This Row],[Start Date]],TODAY(),"Y")</f>
        <v>8</v>
      </c>
      <c r="H442" s="2" t="str" cm="1">
        <f t="array" aca="1" ref="H442" ca="1">_xlfn.IFS(G442&lt;=1,"Fresh",G442&lt;=3,"Junior",G442&lt;=7,"Teamlead",G442&gt;=7,"manger")</f>
        <v>manger</v>
      </c>
      <c r="I442" t="s">
        <v>50</v>
      </c>
      <c r="J442" t="s">
        <v>18</v>
      </c>
      <c r="K442" t="s">
        <v>36</v>
      </c>
      <c r="L442">
        <v>711</v>
      </c>
      <c r="M442">
        <v>8532</v>
      </c>
      <c r="N442">
        <v>5</v>
      </c>
      <c r="O442" t="str" cm="1">
        <f t="array" ref="O442">_xlfn.IFS(EmpTable[[#This Row],[Job Rate]] &lt;=1,"LOW",N442&lt;=2,"LOW",N442&lt;=3,"MEDIUM",N442&gt;4,"HIGH")</f>
        <v>HIGH</v>
      </c>
      <c r="P442">
        <v>0</v>
      </c>
      <c r="Q442">
        <v>0</v>
      </c>
      <c r="R442">
        <v>10</v>
      </c>
    </row>
    <row r="443" spans="1:18" x14ac:dyDescent="0.3">
      <c r="A443">
        <v>442</v>
      </c>
      <c r="B443" t="s">
        <v>641</v>
      </c>
      <c r="C443" t="s">
        <v>642</v>
      </c>
      <c r="D443" t="str">
        <f>_xlfn.CONCAT(EmpTable[[#This Row],[First Name]],EmpTable[[#This Row],[Last Name]])</f>
        <v>Baha AldiynMarzuq</v>
      </c>
      <c r="E443" t="s">
        <v>32</v>
      </c>
      <c r="F443" s="1">
        <v>43195</v>
      </c>
      <c r="G443" s="2">
        <f ca="1">DATEDIF(EmpTable[[#This Row],[Start Date]],TODAY(),"Y")</f>
        <v>7</v>
      </c>
      <c r="H443" s="2" t="str" cm="1">
        <f t="array" aca="1" ref="H443" ca="1">_xlfn.IFS(G443&lt;=1,"Fresh",G443&lt;=3,"Junior",G443&lt;=7,"Teamlead",G443&gt;=7,"manger")</f>
        <v>Teamlead</v>
      </c>
      <c r="I443" t="s">
        <v>17</v>
      </c>
      <c r="J443" t="s">
        <v>22</v>
      </c>
      <c r="K443" t="s">
        <v>19</v>
      </c>
      <c r="L443">
        <v>899</v>
      </c>
      <c r="M443">
        <v>10788</v>
      </c>
      <c r="N443">
        <v>5</v>
      </c>
      <c r="O443" t="str" cm="1">
        <f t="array" ref="O443">_xlfn.IFS(EmpTable[[#This Row],[Job Rate]] &lt;=1,"LOW",N443&lt;=2,"LOW",N443&lt;=3,"MEDIUM",N443&gt;4,"HIGH")</f>
        <v>HIGH</v>
      </c>
      <c r="P443">
        <v>6</v>
      </c>
      <c r="Q443">
        <v>0</v>
      </c>
      <c r="R443">
        <v>38</v>
      </c>
    </row>
    <row r="444" spans="1:18" x14ac:dyDescent="0.3">
      <c r="A444">
        <v>443</v>
      </c>
      <c r="B444" t="s">
        <v>263</v>
      </c>
      <c r="C444" t="s">
        <v>643</v>
      </c>
      <c r="D444" t="str">
        <f>_xlfn.CONCAT(EmpTable[[#This Row],[First Name]],EmpTable[[#This Row],[Last Name]])</f>
        <v>Abd AlruhminHamj</v>
      </c>
      <c r="E444" t="s">
        <v>32</v>
      </c>
      <c r="F444" s="1">
        <v>43900</v>
      </c>
      <c r="G444" s="2">
        <f ca="1">DATEDIF(EmpTable[[#This Row],[Start Date]],TODAY(),"Y")</f>
        <v>6</v>
      </c>
      <c r="H444" s="2" t="str" cm="1">
        <f t="array" aca="1" ref="H444" ca="1">_xlfn.IFS(G444&lt;=1,"Fresh",G444&lt;=3,"Junior",G444&lt;=7,"Teamlead",G444&gt;=7,"manger")</f>
        <v>Teamlead</v>
      </c>
      <c r="I444" t="s">
        <v>41</v>
      </c>
      <c r="J444" t="s">
        <v>18</v>
      </c>
      <c r="K444" t="s">
        <v>42</v>
      </c>
      <c r="L444">
        <v>2571</v>
      </c>
      <c r="M444">
        <v>30852</v>
      </c>
      <c r="N444">
        <v>3</v>
      </c>
      <c r="O444" t="str" cm="1">
        <f t="array" ref="O444">_xlfn.IFS(EmpTable[[#This Row],[Job Rate]] &lt;=1,"LOW",N444&lt;=2,"LOW",N444&lt;=3,"MEDIUM",N444&gt;4,"HIGH")</f>
        <v>MEDIUM</v>
      </c>
      <c r="P444">
        <v>1</v>
      </c>
      <c r="Q444">
        <v>0</v>
      </c>
      <c r="R444">
        <v>6</v>
      </c>
    </row>
    <row r="445" spans="1:18" x14ac:dyDescent="0.3">
      <c r="A445">
        <v>444</v>
      </c>
      <c r="B445" t="s">
        <v>30</v>
      </c>
      <c r="C445" t="s">
        <v>644</v>
      </c>
      <c r="D445" t="str">
        <f>_xlfn.CONCAT(EmpTable[[#This Row],[First Name]],EmpTable[[#This Row],[Last Name]])</f>
        <v>AhmadBradey</v>
      </c>
      <c r="E445" t="s">
        <v>32</v>
      </c>
      <c r="F445" s="1">
        <v>43265</v>
      </c>
      <c r="G445" s="2">
        <f ca="1">DATEDIF(EmpTable[[#This Row],[Start Date]],TODAY(),"Y")</f>
        <v>7</v>
      </c>
      <c r="H445" s="2" t="str" cm="1">
        <f t="array" aca="1" ref="H445" ca="1">_xlfn.IFS(G445&lt;=1,"Fresh",G445&lt;=3,"Junior",G445&lt;=7,"Teamlead",G445&gt;=7,"manger")</f>
        <v>Teamlead</v>
      </c>
      <c r="I445" t="s">
        <v>17</v>
      </c>
      <c r="J445" t="s">
        <v>18</v>
      </c>
      <c r="K445" t="s">
        <v>898</v>
      </c>
      <c r="L445">
        <v>2437</v>
      </c>
      <c r="M445">
        <v>29244</v>
      </c>
      <c r="N445">
        <v>5</v>
      </c>
      <c r="O445" t="str" cm="1">
        <f t="array" ref="O445">_xlfn.IFS(EmpTable[[#This Row],[Job Rate]] &lt;=1,"LOW",N445&lt;=2,"LOW",N445&lt;=3,"MEDIUM",N445&gt;4,"HIGH")</f>
        <v>HIGH</v>
      </c>
      <c r="P445">
        <v>0</v>
      </c>
      <c r="Q445">
        <v>4</v>
      </c>
      <c r="R445">
        <v>8</v>
      </c>
    </row>
    <row r="446" spans="1:18" x14ac:dyDescent="0.3">
      <c r="A446">
        <v>445</v>
      </c>
      <c r="B446" t="s">
        <v>645</v>
      </c>
      <c r="C446" t="s">
        <v>646</v>
      </c>
      <c r="D446" t="str">
        <f>_xlfn.CONCAT(EmpTable[[#This Row],[First Name]],EmpTable[[#This Row],[Last Name]])</f>
        <v>SabahQadish</v>
      </c>
      <c r="E446" t="s">
        <v>307</v>
      </c>
      <c r="F446" s="1">
        <v>43542</v>
      </c>
      <c r="G446" s="2">
        <f ca="1">DATEDIF(EmpTable[[#This Row],[Start Date]],TODAY(),"Y")</f>
        <v>7</v>
      </c>
      <c r="H446" s="2" t="str" cm="1">
        <f t="array" aca="1" ref="H446" ca="1">_xlfn.IFS(G446&lt;=1,"Fresh",G446&lt;=3,"Junior",G446&lt;=7,"Teamlead",G446&gt;=7,"manger")</f>
        <v>Teamlead</v>
      </c>
      <c r="I446" t="s">
        <v>28</v>
      </c>
      <c r="J446" t="s">
        <v>18</v>
      </c>
      <c r="K446" t="s">
        <v>898</v>
      </c>
      <c r="L446">
        <v>2453</v>
      </c>
      <c r="M446">
        <v>29436</v>
      </c>
      <c r="N446">
        <v>5</v>
      </c>
      <c r="O446" t="str" cm="1">
        <f t="array" ref="O446">_xlfn.IFS(EmpTable[[#This Row],[Job Rate]] &lt;=1,"LOW",N446&lt;=2,"LOW",N446&lt;=3,"MEDIUM",N446&gt;4,"HIGH")</f>
        <v>HIGH</v>
      </c>
      <c r="P446">
        <v>1</v>
      </c>
      <c r="Q446">
        <v>0</v>
      </c>
      <c r="R446">
        <v>6</v>
      </c>
    </row>
    <row r="447" spans="1:18" x14ac:dyDescent="0.3">
      <c r="A447">
        <v>446</v>
      </c>
      <c r="B447" t="s">
        <v>647</v>
      </c>
      <c r="C447" t="s">
        <v>142</v>
      </c>
      <c r="D447" t="str">
        <f>_xlfn.CONCAT(EmpTable[[#This Row],[First Name]],EmpTable[[#This Row],[Last Name]])</f>
        <v>AsraAlmisri</v>
      </c>
      <c r="E447" t="s">
        <v>307</v>
      </c>
      <c r="F447" s="1">
        <v>43279</v>
      </c>
      <c r="G447" s="2">
        <f ca="1">DATEDIF(EmpTable[[#This Row],[Start Date]],TODAY(),"Y")</f>
        <v>7</v>
      </c>
      <c r="H447" s="2" t="str" cm="1">
        <f t="array" aca="1" ref="H447" ca="1">_xlfn.IFS(G447&lt;=1,"Fresh",G447&lt;=3,"Junior",G447&lt;=7,"Teamlead",G447&gt;=7,"manger")</f>
        <v>Teamlead</v>
      </c>
      <c r="I447" t="s">
        <v>28</v>
      </c>
      <c r="J447" t="s">
        <v>18</v>
      </c>
      <c r="K447" t="s">
        <v>898</v>
      </c>
      <c r="L447">
        <v>1839</v>
      </c>
      <c r="M447">
        <v>22068</v>
      </c>
      <c r="N447">
        <v>5</v>
      </c>
      <c r="O447" t="str" cm="1">
        <f t="array" ref="O447">_xlfn.IFS(EmpTable[[#This Row],[Job Rate]] &lt;=1,"LOW",N447&lt;=2,"LOW",N447&lt;=3,"MEDIUM",N447&gt;4,"HIGH")</f>
        <v>HIGH</v>
      </c>
      <c r="P447">
        <v>1</v>
      </c>
      <c r="Q447">
        <v>0</v>
      </c>
      <c r="R447">
        <v>9</v>
      </c>
    </row>
    <row r="448" spans="1:18" x14ac:dyDescent="0.3">
      <c r="A448">
        <v>447</v>
      </c>
      <c r="B448" t="s">
        <v>127</v>
      </c>
      <c r="C448" t="s">
        <v>648</v>
      </c>
      <c r="D448" t="str">
        <f>_xlfn.CONCAT(EmpTable[[#This Row],[First Name]],EmpTable[[#This Row],[Last Name]])</f>
        <v>FarasKawaara</v>
      </c>
      <c r="E448" t="s">
        <v>32</v>
      </c>
      <c r="F448" s="1">
        <v>42787</v>
      </c>
      <c r="G448" s="2">
        <f ca="1">DATEDIF(EmpTable[[#This Row],[Start Date]],TODAY(),"Y")</f>
        <v>9</v>
      </c>
      <c r="H448" s="2" t="str" cm="1">
        <f t="array" aca="1" ref="H448" ca="1">_xlfn.IFS(G448&lt;=1,"Fresh",G448&lt;=3,"Junior",G448&lt;=7,"Teamlead",G448&gt;=7,"manger")</f>
        <v>manger</v>
      </c>
      <c r="I448" t="s">
        <v>17</v>
      </c>
      <c r="J448" t="s">
        <v>29</v>
      </c>
      <c r="K448" t="s">
        <v>19</v>
      </c>
      <c r="L448">
        <v>2306</v>
      </c>
      <c r="M448">
        <v>27672</v>
      </c>
      <c r="N448">
        <v>1</v>
      </c>
      <c r="O448" t="str" cm="1">
        <f t="array" ref="O448">_xlfn.IFS(EmpTable[[#This Row],[Job Rate]] &lt;=1,"LOW",N448&lt;=2,"LOW",N448&lt;=3,"MEDIUM",N448&gt;4,"HIGH")</f>
        <v>LOW</v>
      </c>
      <c r="P448">
        <v>6</v>
      </c>
      <c r="Q448">
        <v>0</v>
      </c>
      <c r="R448">
        <v>7</v>
      </c>
    </row>
    <row r="449" spans="1:18" x14ac:dyDescent="0.3">
      <c r="A449">
        <v>448</v>
      </c>
      <c r="B449" t="s">
        <v>33</v>
      </c>
      <c r="C449" t="s">
        <v>649</v>
      </c>
      <c r="D449" t="str">
        <f>_xlfn.CONCAT(EmpTable[[#This Row],[First Name]],EmpTable[[#This Row],[Last Name]])</f>
        <v>MuhamadAbunfis</v>
      </c>
      <c r="E449" t="s">
        <v>32</v>
      </c>
      <c r="F449" s="1">
        <v>43269</v>
      </c>
      <c r="G449" s="2">
        <f ca="1">DATEDIF(EmpTable[[#This Row],[Start Date]],TODAY(),"Y")</f>
        <v>7</v>
      </c>
      <c r="H449" s="2" t="str" cm="1">
        <f t="array" aca="1" ref="H449" ca="1">_xlfn.IFS(G449&lt;=1,"Fresh",G449&lt;=3,"Junior",G449&lt;=7,"Teamlead",G449&gt;=7,"manger")</f>
        <v>Teamlead</v>
      </c>
      <c r="I449" t="s">
        <v>35</v>
      </c>
      <c r="J449" t="s">
        <v>48</v>
      </c>
      <c r="K449" t="s">
        <v>42</v>
      </c>
      <c r="L449">
        <v>970</v>
      </c>
      <c r="M449">
        <v>11640</v>
      </c>
      <c r="N449">
        <v>1</v>
      </c>
      <c r="O449" t="str" cm="1">
        <f t="array" ref="O449">_xlfn.IFS(EmpTable[[#This Row],[Job Rate]] &lt;=1,"LOW",N449&lt;=2,"LOW",N449&lt;=3,"MEDIUM",N449&gt;4,"HIGH")</f>
        <v>LOW</v>
      </c>
      <c r="P449">
        <v>0</v>
      </c>
      <c r="Q449">
        <v>0</v>
      </c>
      <c r="R449">
        <v>5</v>
      </c>
    </row>
    <row r="450" spans="1:18" x14ac:dyDescent="0.3">
      <c r="A450">
        <v>449</v>
      </c>
      <c r="B450" t="s">
        <v>650</v>
      </c>
      <c r="C450" t="s">
        <v>496</v>
      </c>
      <c r="D450" t="str">
        <f>_xlfn.CONCAT(EmpTable[[#This Row],[First Name]],EmpTable[[#This Row],[Last Name]])</f>
        <v>LawiyShiah</v>
      </c>
      <c r="E450" t="s">
        <v>32</v>
      </c>
      <c r="F450" s="1">
        <v>43224</v>
      </c>
      <c r="G450" s="2">
        <f ca="1">DATEDIF(EmpTable[[#This Row],[Start Date]],TODAY(),"Y")</f>
        <v>7</v>
      </c>
      <c r="H450" s="2" t="str" cm="1">
        <f t="array" aca="1" ref="H450" ca="1">_xlfn.IFS(G450&lt;=1,"Fresh",G450&lt;=3,"Junior",G450&lt;=7,"Teamlead",G450&gt;=7,"manger")</f>
        <v>Teamlead</v>
      </c>
      <c r="I450" t="s">
        <v>77</v>
      </c>
      <c r="J450" t="s">
        <v>18</v>
      </c>
      <c r="K450" t="s">
        <v>36</v>
      </c>
      <c r="L450">
        <v>3140</v>
      </c>
      <c r="M450">
        <v>37680</v>
      </c>
      <c r="N450">
        <v>3</v>
      </c>
      <c r="O450" t="str" cm="1">
        <f t="array" ref="O450">_xlfn.IFS(EmpTable[[#This Row],[Job Rate]] &lt;=1,"LOW",N450&lt;=2,"LOW",N450&lt;=3,"MEDIUM",N450&gt;4,"HIGH")</f>
        <v>MEDIUM</v>
      </c>
      <c r="P450">
        <v>6</v>
      </c>
      <c r="Q450">
        <v>1</v>
      </c>
      <c r="R450">
        <v>5</v>
      </c>
    </row>
    <row r="451" spans="1:18" x14ac:dyDescent="0.3">
      <c r="A451">
        <v>450</v>
      </c>
      <c r="B451" t="s">
        <v>651</v>
      </c>
      <c r="C451" t="s">
        <v>652</v>
      </c>
      <c r="D451" t="str">
        <f>_xlfn.CONCAT(EmpTable[[#This Row],[First Name]],EmpTable[[#This Row],[Last Name]])</f>
        <v>RamaAlsaghir</v>
      </c>
      <c r="E451" t="s">
        <v>307</v>
      </c>
      <c r="F451" s="1">
        <v>42835</v>
      </c>
      <c r="G451" s="2">
        <f ca="1">DATEDIF(EmpTable[[#This Row],[Start Date]],TODAY(),"Y")</f>
        <v>8</v>
      </c>
      <c r="H451" s="2" t="str" cm="1">
        <f t="array" aca="1" ref="H451" ca="1">_xlfn.IFS(G451&lt;=1,"Fresh",G451&lt;=3,"Junior",G451&lt;=7,"Teamlead",G451&gt;=7,"manger")</f>
        <v>manger</v>
      </c>
      <c r="I451" t="s">
        <v>88</v>
      </c>
      <c r="J451" t="s">
        <v>18</v>
      </c>
      <c r="K451" t="s">
        <v>42</v>
      </c>
      <c r="L451">
        <v>1176</v>
      </c>
      <c r="M451">
        <v>14112</v>
      </c>
      <c r="N451">
        <v>5</v>
      </c>
      <c r="O451" t="str" cm="1">
        <f t="array" ref="O451">_xlfn.IFS(EmpTable[[#This Row],[Job Rate]] &lt;=1,"LOW",N451&lt;=2,"LOW",N451&lt;=3,"MEDIUM",N451&gt;4,"HIGH")</f>
        <v>HIGH</v>
      </c>
      <c r="P451">
        <v>2</v>
      </c>
      <c r="Q451">
        <v>0</v>
      </c>
      <c r="R451">
        <v>6</v>
      </c>
    </row>
    <row r="452" spans="1:18" x14ac:dyDescent="0.3">
      <c r="A452">
        <v>451</v>
      </c>
      <c r="B452" t="s">
        <v>30</v>
      </c>
      <c r="C452" t="s">
        <v>653</v>
      </c>
      <c r="D452" t="str">
        <f>_xlfn.CONCAT(EmpTable[[#This Row],[First Name]],EmpTable[[#This Row],[Last Name]])</f>
        <v>AhmadQadimati</v>
      </c>
      <c r="E452" t="s">
        <v>32</v>
      </c>
      <c r="F452" s="1">
        <v>43698</v>
      </c>
      <c r="G452" s="2">
        <f ca="1">DATEDIF(EmpTable[[#This Row],[Start Date]],TODAY(),"Y")</f>
        <v>6</v>
      </c>
      <c r="H452" s="2" t="str" cm="1">
        <f t="array" aca="1" ref="H452" ca="1">_xlfn.IFS(G452&lt;=1,"Fresh",G452&lt;=3,"Junior",G452&lt;=7,"Teamlead",G452&gt;=7,"manger")</f>
        <v>Teamlead</v>
      </c>
      <c r="I452" t="s">
        <v>53</v>
      </c>
      <c r="J452" t="s">
        <v>29</v>
      </c>
      <c r="K452" t="s">
        <v>898</v>
      </c>
      <c r="L452">
        <v>2742</v>
      </c>
      <c r="M452">
        <v>32904</v>
      </c>
      <c r="N452">
        <v>5</v>
      </c>
      <c r="O452" t="str" cm="1">
        <f t="array" ref="O452">_xlfn.IFS(EmpTable[[#This Row],[Job Rate]] &lt;=1,"LOW",N452&lt;=2,"LOW",N452&lt;=3,"MEDIUM",N452&gt;4,"HIGH")</f>
        <v>HIGH</v>
      </c>
      <c r="P452">
        <v>0</v>
      </c>
      <c r="Q452">
        <v>0</v>
      </c>
      <c r="R452">
        <v>9</v>
      </c>
    </row>
    <row r="453" spans="1:18" x14ac:dyDescent="0.3">
      <c r="A453">
        <v>452</v>
      </c>
      <c r="B453" t="s">
        <v>654</v>
      </c>
      <c r="C453" t="s">
        <v>655</v>
      </c>
      <c r="D453" t="str">
        <f>_xlfn.CONCAT(EmpTable[[#This Row],[First Name]],EmpTable[[#This Row],[Last Name]])</f>
        <v>QaysDahna</v>
      </c>
      <c r="E453" t="s">
        <v>32</v>
      </c>
      <c r="F453" s="1">
        <v>42996</v>
      </c>
      <c r="G453" s="2">
        <f ca="1">DATEDIF(EmpTable[[#This Row],[Start Date]],TODAY(),"Y")</f>
        <v>8</v>
      </c>
      <c r="H453" s="2" t="str" cm="1">
        <f t="array" aca="1" ref="H453" ca="1">_xlfn.IFS(G453&lt;=1,"Fresh",G453&lt;=3,"Junior",G453&lt;=7,"Teamlead",G453&gt;=7,"manger")</f>
        <v>manger</v>
      </c>
      <c r="I453" t="s">
        <v>17</v>
      </c>
      <c r="J453" t="s">
        <v>18</v>
      </c>
      <c r="K453" t="s">
        <v>19</v>
      </c>
      <c r="L453">
        <v>734</v>
      </c>
      <c r="M453">
        <v>8808</v>
      </c>
      <c r="N453">
        <v>3</v>
      </c>
      <c r="O453" t="str" cm="1">
        <f t="array" ref="O453">_xlfn.IFS(EmpTable[[#This Row],[Job Rate]] &lt;=1,"LOW",N453&lt;=2,"LOW",N453&lt;=3,"MEDIUM",N453&gt;4,"HIGH")</f>
        <v>MEDIUM</v>
      </c>
      <c r="P453">
        <v>0</v>
      </c>
      <c r="Q453">
        <v>0</v>
      </c>
      <c r="R453">
        <v>0</v>
      </c>
    </row>
    <row r="454" spans="1:18" x14ac:dyDescent="0.3">
      <c r="A454">
        <v>453</v>
      </c>
      <c r="B454" t="s">
        <v>656</v>
      </c>
      <c r="C454" t="s">
        <v>657</v>
      </c>
      <c r="D454" t="str">
        <f>_xlfn.CONCAT(EmpTable[[#This Row],[First Name]],EmpTable[[#This Row],[Last Name]])</f>
        <v>RajaEaziza</v>
      </c>
      <c r="E454" t="s">
        <v>32</v>
      </c>
      <c r="F454" s="1">
        <v>43133</v>
      </c>
      <c r="G454" s="2">
        <f ca="1">DATEDIF(EmpTable[[#This Row],[Start Date]],TODAY(),"Y")</f>
        <v>8</v>
      </c>
      <c r="H454" s="2" t="str" cm="1">
        <f t="array" aca="1" ref="H454" ca="1">_xlfn.IFS(G454&lt;=1,"Fresh",G454&lt;=3,"Junior",G454&lt;=7,"Teamlead",G454&gt;=7,"manger")</f>
        <v>manger</v>
      </c>
      <c r="I454" t="s">
        <v>28</v>
      </c>
      <c r="J454" t="s">
        <v>48</v>
      </c>
      <c r="K454" t="s">
        <v>42</v>
      </c>
      <c r="L454">
        <v>894</v>
      </c>
      <c r="M454">
        <v>10728</v>
      </c>
      <c r="N454">
        <v>3</v>
      </c>
      <c r="O454" t="str" cm="1">
        <f t="array" ref="O454">_xlfn.IFS(EmpTable[[#This Row],[Job Rate]] &lt;=1,"LOW",N454&lt;=2,"LOW",N454&lt;=3,"MEDIUM",N454&gt;4,"HIGH")</f>
        <v>MEDIUM</v>
      </c>
      <c r="P454">
        <v>6</v>
      </c>
      <c r="Q454">
        <v>0</v>
      </c>
      <c r="R454">
        <v>93</v>
      </c>
    </row>
    <row r="455" spans="1:18" x14ac:dyDescent="0.3">
      <c r="A455">
        <v>454</v>
      </c>
      <c r="B455" t="s">
        <v>295</v>
      </c>
      <c r="C455" t="s">
        <v>658</v>
      </c>
      <c r="D455" t="str">
        <f>_xlfn.CONCAT(EmpTable[[#This Row],[First Name]],EmpTable[[#This Row],[Last Name]])</f>
        <v>EmarNakaash</v>
      </c>
      <c r="E455" t="s">
        <v>307</v>
      </c>
      <c r="F455" s="1">
        <v>44144</v>
      </c>
      <c r="G455" s="2">
        <f ca="1">DATEDIF(EmpTable[[#This Row],[Start Date]],TODAY(),"Y")</f>
        <v>5</v>
      </c>
      <c r="H455" s="2" t="str" cm="1">
        <f t="array" aca="1" ref="H455" ca="1">_xlfn.IFS(G455&lt;=1,"Fresh",G455&lt;=3,"Junior",G455&lt;=7,"Teamlead",G455&gt;=7,"manger")</f>
        <v>Teamlead</v>
      </c>
      <c r="I455" t="s">
        <v>41</v>
      </c>
      <c r="J455" t="s">
        <v>22</v>
      </c>
      <c r="K455" t="s">
        <v>898</v>
      </c>
      <c r="L455">
        <v>2640</v>
      </c>
      <c r="M455">
        <v>31680</v>
      </c>
      <c r="N455">
        <v>4.5</v>
      </c>
      <c r="O455" t="str" cm="1">
        <f t="array" ref="O455">_xlfn.IFS(EmpTable[[#This Row],[Job Rate]] &lt;=1,"LOW",N455&lt;=2,"LOW",N455&lt;=3,"MEDIUM",N455&gt;4,"HIGH")</f>
        <v>HIGH</v>
      </c>
      <c r="P455">
        <v>1</v>
      </c>
      <c r="Q455">
        <v>5</v>
      </c>
      <c r="R455">
        <v>4</v>
      </c>
    </row>
    <row r="456" spans="1:18" x14ac:dyDescent="0.3">
      <c r="A456">
        <v>455</v>
      </c>
      <c r="B456" t="s">
        <v>206</v>
      </c>
      <c r="C456" t="s">
        <v>659</v>
      </c>
      <c r="D456" t="str">
        <f>_xlfn.CONCAT(EmpTable[[#This Row],[First Name]],EmpTable[[#This Row],[Last Name]])</f>
        <v>RanyaKhuluf</v>
      </c>
      <c r="E456" t="s">
        <v>307</v>
      </c>
      <c r="F456" s="1">
        <v>43497</v>
      </c>
      <c r="G456" s="2">
        <f ca="1">DATEDIF(EmpTable[[#This Row],[Start Date]],TODAY(),"Y")</f>
        <v>7</v>
      </c>
      <c r="H456" s="2" t="str" cm="1">
        <f t="array" aca="1" ref="H456" ca="1">_xlfn.IFS(G456&lt;=1,"Fresh",G456&lt;=3,"Junior",G456&lt;=7,"Teamlead",G456&gt;=7,"manger")</f>
        <v>Teamlead</v>
      </c>
      <c r="I456" t="s">
        <v>28</v>
      </c>
      <c r="J456" t="s">
        <v>18</v>
      </c>
      <c r="K456" t="s">
        <v>36</v>
      </c>
      <c r="L456">
        <v>1059</v>
      </c>
      <c r="M456">
        <v>12708</v>
      </c>
      <c r="N456">
        <v>2</v>
      </c>
      <c r="O456" t="str" cm="1">
        <f t="array" ref="O456">_xlfn.IFS(EmpTable[[#This Row],[Job Rate]] &lt;=1,"LOW",N456&lt;=2,"LOW",N456&lt;=3,"MEDIUM",N456&gt;4,"HIGH")</f>
        <v>LOW</v>
      </c>
      <c r="P456">
        <v>0</v>
      </c>
      <c r="Q456">
        <v>0</v>
      </c>
      <c r="R456">
        <v>14</v>
      </c>
    </row>
    <row r="457" spans="1:18" x14ac:dyDescent="0.3">
      <c r="A457">
        <v>456</v>
      </c>
      <c r="B457" t="s">
        <v>497</v>
      </c>
      <c r="C457" t="s">
        <v>660</v>
      </c>
      <c r="D457" t="str">
        <f>_xlfn.CONCAT(EmpTable[[#This Row],[First Name]],EmpTable[[#This Row],[Last Name]])</f>
        <v>KindaZaki</v>
      </c>
      <c r="E457" t="s">
        <v>307</v>
      </c>
      <c r="F457" s="1">
        <v>43260</v>
      </c>
      <c r="G457" s="2">
        <f ca="1">DATEDIF(EmpTable[[#This Row],[Start Date]],TODAY(),"Y")</f>
        <v>7</v>
      </c>
      <c r="H457" s="2" t="str" cm="1">
        <f t="array" aca="1" ref="H457" ca="1">_xlfn.IFS(G457&lt;=1,"Fresh",G457&lt;=3,"Junior",G457&lt;=7,"Teamlead",G457&gt;=7,"manger")</f>
        <v>Teamlead</v>
      </c>
      <c r="I457" t="s">
        <v>35</v>
      </c>
      <c r="J457" t="s">
        <v>294</v>
      </c>
      <c r="K457" t="s">
        <v>36</v>
      </c>
      <c r="L457">
        <v>3337</v>
      </c>
      <c r="M457">
        <v>40044</v>
      </c>
      <c r="N457">
        <v>3</v>
      </c>
      <c r="O457" t="str" cm="1">
        <f t="array" ref="O457">_xlfn.IFS(EmpTable[[#This Row],[Job Rate]] &lt;=1,"LOW",N457&lt;=2,"LOW",N457&lt;=3,"MEDIUM",N457&gt;4,"HIGH")</f>
        <v>MEDIUM</v>
      </c>
      <c r="P457">
        <v>0</v>
      </c>
      <c r="Q457">
        <v>2</v>
      </c>
      <c r="R457">
        <v>6</v>
      </c>
    </row>
    <row r="458" spans="1:18" x14ac:dyDescent="0.3">
      <c r="A458">
        <v>457</v>
      </c>
      <c r="B458" t="s">
        <v>33</v>
      </c>
      <c r="C458" t="s">
        <v>661</v>
      </c>
      <c r="D458" t="str">
        <f>_xlfn.CONCAT(EmpTable[[#This Row],[First Name]],EmpTable[[#This Row],[Last Name]])</f>
        <v>MuhamadAsamh Tubae</v>
      </c>
      <c r="E458" t="s">
        <v>32</v>
      </c>
      <c r="F458" s="1">
        <v>44063</v>
      </c>
      <c r="G458" s="2">
        <f ca="1">DATEDIF(EmpTable[[#This Row],[Start Date]],TODAY(),"Y")</f>
        <v>5</v>
      </c>
      <c r="H458" s="2" t="str" cm="1">
        <f t="array" aca="1" ref="H458" ca="1">_xlfn.IFS(G458&lt;=1,"Fresh",G458&lt;=3,"Junior",G458&lt;=7,"Teamlead",G458&gt;=7,"manger")</f>
        <v>Teamlead</v>
      </c>
      <c r="I458" t="s">
        <v>77</v>
      </c>
      <c r="J458" t="s">
        <v>18</v>
      </c>
      <c r="K458" t="s">
        <v>36</v>
      </c>
      <c r="L458">
        <v>3154</v>
      </c>
      <c r="M458">
        <v>37848</v>
      </c>
      <c r="N458">
        <v>3</v>
      </c>
      <c r="O458" t="str" cm="1">
        <f t="array" ref="O458">_xlfn.IFS(EmpTable[[#This Row],[Job Rate]] &lt;=1,"LOW",N458&lt;=2,"LOW",N458&lt;=3,"MEDIUM",N458&gt;4,"HIGH")</f>
        <v>MEDIUM</v>
      </c>
      <c r="P458">
        <v>0</v>
      </c>
      <c r="Q458">
        <v>0</v>
      </c>
      <c r="R458">
        <v>6</v>
      </c>
    </row>
    <row r="459" spans="1:18" x14ac:dyDescent="0.3">
      <c r="A459">
        <v>458</v>
      </c>
      <c r="B459" t="s">
        <v>30</v>
      </c>
      <c r="C459" t="s">
        <v>662</v>
      </c>
      <c r="D459" t="str">
        <f>_xlfn.CONCAT(EmpTable[[#This Row],[First Name]],EmpTable[[#This Row],[Last Name]])</f>
        <v>AhmadDaeas</v>
      </c>
      <c r="E459" t="s">
        <v>32</v>
      </c>
      <c r="F459" s="1">
        <v>43508</v>
      </c>
      <c r="G459" s="2">
        <f ca="1">DATEDIF(EmpTable[[#This Row],[Start Date]],TODAY(),"Y")</f>
        <v>7</v>
      </c>
      <c r="H459" s="2" t="str" cm="1">
        <f t="array" aca="1" ref="H459" ca="1">_xlfn.IFS(G459&lt;=1,"Fresh",G459&lt;=3,"Junior",G459&lt;=7,"Teamlead",G459&gt;=7,"manger")</f>
        <v>Teamlead</v>
      </c>
      <c r="I459" t="s">
        <v>53</v>
      </c>
      <c r="J459" t="s">
        <v>18</v>
      </c>
      <c r="K459" t="s">
        <v>42</v>
      </c>
      <c r="L459">
        <v>1618</v>
      </c>
      <c r="M459">
        <v>19416</v>
      </c>
      <c r="N459">
        <v>3</v>
      </c>
      <c r="O459" t="str" cm="1">
        <f t="array" ref="O459">_xlfn.IFS(EmpTable[[#This Row],[Job Rate]] &lt;=1,"LOW",N459&lt;=2,"LOW",N459&lt;=3,"MEDIUM",N459&gt;4,"HIGH")</f>
        <v>MEDIUM</v>
      </c>
      <c r="P459">
        <v>1</v>
      </c>
      <c r="Q459">
        <v>0</v>
      </c>
      <c r="R459">
        <v>1</v>
      </c>
    </row>
    <row r="460" spans="1:18" x14ac:dyDescent="0.3">
      <c r="A460">
        <v>459</v>
      </c>
      <c r="B460" t="s">
        <v>33</v>
      </c>
      <c r="C460" t="s">
        <v>663</v>
      </c>
      <c r="D460" t="str">
        <f>_xlfn.CONCAT(EmpTable[[#This Row],[First Name]],EmpTable[[#This Row],[Last Name]])</f>
        <v>MuhamadShadi Alkhiat</v>
      </c>
      <c r="E460" t="s">
        <v>32</v>
      </c>
      <c r="F460" s="1">
        <v>42786</v>
      </c>
      <c r="G460" s="2">
        <f ca="1">DATEDIF(EmpTable[[#This Row],[Start Date]],TODAY(),"Y")</f>
        <v>9</v>
      </c>
      <c r="H460" s="2" t="str" cm="1">
        <f t="array" aca="1" ref="H460" ca="1">_xlfn.IFS(G460&lt;=1,"Fresh",G460&lt;=3,"Junior",G460&lt;=7,"Teamlead",G460&gt;=7,"manger")</f>
        <v>manger</v>
      </c>
      <c r="I460" t="s">
        <v>77</v>
      </c>
      <c r="J460" t="s">
        <v>29</v>
      </c>
      <c r="K460" t="s">
        <v>42</v>
      </c>
      <c r="L460">
        <v>1248</v>
      </c>
      <c r="M460">
        <v>14976</v>
      </c>
      <c r="N460">
        <v>5</v>
      </c>
      <c r="O460" t="str" cm="1">
        <f t="array" ref="O460">_xlfn.IFS(EmpTable[[#This Row],[Job Rate]] &lt;=1,"LOW",N460&lt;=2,"LOW",N460&lt;=3,"MEDIUM",N460&gt;4,"HIGH")</f>
        <v>HIGH</v>
      </c>
      <c r="P460">
        <v>0</v>
      </c>
      <c r="Q460">
        <v>6</v>
      </c>
      <c r="R460">
        <v>7</v>
      </c>
    </row>
    <row r="461" spans="1:18" x14ac:dyDescent="0.3">
      <c r="A461">
        <v>460</v>
      </c>
      <c r="B461" t="s">
        <v>664</v>
      </c>
      <c r="C461" t="s">
        <v>665</v>
      </c>
      <c r="D461" t="str">
        <f>_xlfn.CONCAT(EmpTable[[#This Row],[First Name]],EmpTable[[#This Row],[Last Name]])</f>
        <v>OmaimahTqi Aldiyn</v>
      </c>
      <c r="E461" t="s">
        <v>307</v>
      </c>
      <c r="F461" s="1">
        <v>42978</v>
      </c>
      <c r="G461" s="2">
        <f ca="1">DATEDIF(EmpTable[[#This Row],[Start Date]],TODAY(),"Y")</f>
        <v>8</v>
      </c>
      <c r="H461" s="2" t="str" cm="1">
        <f t="array" aca="1" ref="H461" ca="1">_xlfn.IFS(G461&lt;=1,"Fresh",G461&lt;=3,"Junior",G461&lt;=7,"Teamlead",G461&gt;=7,"manger")</f>
        <v>manger</v>
      </c>
      <c r="I461" t="s">
        <v>77</v>
      </c>
      <c r="J461" t="s">
        <v>18</v>
      </c>
      <c r="K461" t="s">
        <v>60</v>
      </c>
      <c r="L461">
        <v>1523</v>
      </c>
      <c r="M461">
        <v>18276</v>
      </c>
      <c r="N461">
        <v>3</v>
      </c>
      <c r="O461" t="str" cm="1">
        <f t="array" ref="O461">_xlfn.IFS(EmpTable[[#This Row],[Job Rate]] &lt;=1,"LOW",N461&lt;=2,"LOW",N461&lt;=3,"MEDIUM",N461&gt;4,"HIGH")</f>
        <v>MEDIUM</v>
      </c>
      <c r="P461">
        <v>6</v>
      </c>
      <c r="Q461">
        <v>5</v>
      </c>
      <c r="R461">
        <v>4</v>
      </c>
    </row>
    <row r="462" spans="1:18" x14ac:dyDescent="0.3">
      <c r="A462">
        <v>461</v>
      </c>
      <c r="B462" t="s">
        <v>666</v>
      </c>
      <c r="C462" t="s">
        <v>667</v>
      </c>
      <c r="D462" t="str">
        <f>_xlfn.CONCAT(EmpTable[[#This Row],[First Name]],EmpTable[[#This Row],[Last Name]])</f>
        <v>TahaniYasir</v>
      </c>
      <c r="E462" t="s">
        <v>307</v>
      </c>
      <c r="F462" s="1">
        <v>43475</v>
      </c>
      <c r="G462" s="2">
        <f ca="1">DATEDIF(EmpTable[[#This Row],[Start Date]],TODAY(),"Y")</f>
        <v>7</v>
      </c>
      <c r="H462" s="2" t="str" cm="1">
        <f t="array" aca="1" ref="H462" ca="1">_xlfn.IFS(G462&lt;=1,"Fresh",G462&lt;=3,"Junior",G462&lt;=7,"Teamlead",G462&gt;=7,"manger")</f>
        <v>Teamlead</v>
      </c>
      <c r="I462" t="s">
        <v>28</v>
      </c>
      <c r="J462" t="s">
        <v>18</v>
      </c>
      <c r="K462" t="s">
        <v>36</v>
      </c>
      <c r="L462">
        <v>1275</v>
      </c>
      <c r="M462">
        <v>15300</v>
      </c>
      <c r="N462">
        <v>4.5</v>
      </c>
      <c r="O462" t="str" cm="1">
        <f t="array" ref="O462">_xlfn.IFS(EmpTable[[#This Row],[Job Rate]] &lt;=1,"LOW",N462&lt;=2,"LOW",N462&lt;=3,"MEDIUM",N462&gt;4,"HIGH")</f>
        <v>HIGH</v>
      </c>
      <c r="P462">
        <v>3</v>
      </c>
      <c r="Q462">
        <v>0</v>
      </c>
      <c r="R462">
        <v>9</v>
      </c>
    </row>
    <row r="463" spans="1:18" x14ac:dyDescent="0.3">
      <c r="A463">
        <v>462</v>
      </c>
      <c r="B463" t="s">
        <v>369</v>
      </c>
      <c r="C463" t="s">
        <v>668</v>
      </c>
      <c r="D463" t="str">
        <f>_xlfn.CONCAT(EmpTable[[#This Row],[First Name]],EmpTable[[#This Row],[Last Name]])</f>
        <v>HasanAlfywmi</v>
      </c>
      <c r="E463" t="s">
        <v>32</v>
      </c>
      <c r="F463" s="1">
        <v>43472</v>
      </c>
      <c r="G463" s="2">
        <f ca="1">DATEDIF(EmpTable[[#This Row],[Start Date]],TODAY(),"Y")</f>
        <v>7</v>
      </c>
      <c r="H463" s="2" t="str" cm="1">
        <f t="array" aca="1" ref="H463" ca="1">_xlfn.IFS(G463&lt;=1,"Fresh",G463&lt;=3,"Junior",G463&lt;=7,"Teamlead",G463&gt;=7,"manger")</f>
        <v>Teamlead</v>
      </c>
      <c r="I463" t="s">
        <v>41</v>
      </c>
      <c r="J463" t="s">
        <v>48</v>
      </c>
      <c r="K463" t="s">
        <v>36</v>
      </c>
      <c r="L463">
        <v>1549</v>
      </c>
      <c r="M463">
        <v>18588</v>
      </c>
      <c r="N463">
        <v>3</v>
      </c>
      <c r="O463" t="str" cm="1">
        <f t="array" ref="O463">_xlfn.IFS(EmpTable[[#This Row],[Job Rate]] &lt;=1,"LOW",N463&lt;=2,"LOW",N463&lt;=3,"MEDIUM",N463&gt;4,"HIGH")</f>
        <v>MEDIUM</v>
      </c>
      <c r="P463">
        <v>2</v>
      </c>
      <c r="Q463">
        <v>0</v>
      </c>
      <c r="R463">
        <v>5</v>
      </c>
    </row>
    <row r="464" spans="1:18" x14ac:dyDescent="0.3">
      <c r="A464">
        <v>463</v>
      </c>
      <c r="B464" t="s">
        <v>373</v>
      </c>
      <c r="C464" t="s">
        <v>669</v>
      </c>
      <c r="D464" t="str">
        <f>_xlfn.CONCAT(EmpTable[[#This Row],[First Name]],EmpTable[[#This Row],[Last Name]])</f>
        <v>ZahirZarie</v>
      </c>
      <c r="E464" t="s">
        <v>32</v>
      </c>
      <c r="F464" s="1">
        <v>43618</v>
      </c>
      <c r="G464" s="2">
        <f ca="1">DATEDIF(EmpTable[[#This Row],[Start Date]],TODAY(),"Y")</f>
        <v>6</v>
      </c>
      <c r="H464" s="2" t="str" cm="1">
        <f t="array" aca="1" ref="H464" ca="1">_xlfn.IFS(G464&lt;=1,"Fresh",G464&lt;=3,"Junior",G464&lt;=7,"Teamlead",G464&gt;=7,"manger")</f>
        <v>Teamlead</v>
      </c>
      <c r="I464" t="s">
        <v>88</v>
      </c>
      <c r="J464" t="s">
        <v>22</v>
      </c>
      <c r="K464" t="s">
        <v>898</v>
      </c>
      <c r="L464">
        <v>1786</v>
      </c>
      <c r="M464">
        <v>21432</v>
      </c>
      <c r="N464">
        <v>3</v>
      </c>
      <c r="O464" t="str" cm="1">
        <f t="array" ref="O464">_xlfn.IFS(EmpTable[[#This Row],[Job Rate]] &lt;=1,"LOW",N464&lt;=2,"LOW",N464&lt;=3,"MEDIUM",N464&gt;4,"HIGH")</f>
        <v>MEDIUM</v>
      </c>
      <c r="P464">
        <v>4</v>
      </c>
      <c r="Q464">
        <v>4</v>
      </c>
      <c r="R464">
        <v>1</v>
      </c>
    </row>
    <row r="465" spans="1:18" x14ac:dyDescent="0.3">
      <c r="A465">
        <v>464</v>
      </c>
      <c r="B465" t="s">
        <v>33</v>
      </c>
      <c r="C465" t="s">
        <v>670</v>
      </c>
      <c r="D465" t="str">
        <f>_xlfn.CONCAT(EmpTable[[#This Row],[First Name]],EmpTable[[#This Row],[Last Name]])</f>
        <v>MuhamadEaqad</v>
      </c>
      <c r="E465" t="s">
        <v>32</v>
      </c>
      <c r="F465" s="1">
        <v>43557</v>
      </c>
      <c r="G465" s="2">
        <f ca="1">DATEDIF(EmpTable[[#This Row],[Start Date]],TODAY(),"Y")</f>
        <v>6</v>
      </c>
      <c r="H465" s="2" t="str" cm="1">
        <f t="array" aca="1" ref="H465" ca="1">_xlfn.IFS(G465&lt;=1,"Fresh",G465&lt;=3,"Junior",G465&lt;=7,"Teamlead",G465&gt;=7,"manger")</f>
        <v>Teamlead</v>
      </c>
      <c r="I465" t="s">
        <v>77</v>
      </c>
      <c r="J465" t="s">
        <v>22</v>
      </c>
      <c r="K465" t="s">
        <v>42</v>
      </c>
      <c r="L465">
        <v>1908</v>
      </c>
      <c r="M465">
        <v>22896</v>
      </c>
      <c r="N465">
        <v>1</v>
      </c>
      <c r="O465" t="str" cm="1">
        <f t="array" ref="O465">_xlfn.IFS(EmpTable[[#This Row],[Job Rate]] &lt;=1,"LOW",N465&lt;=2,"LOW",N465&lt;=3,"MEDIUM",N465&gt;4,"HIGH")</f>
        <v>LOW</v>
      </c>
      <c r="P465">
        <v>0</v>
      </c>
      <c r="Q465">
        <v>5</v>
      </c>
      <c r="R465">
        <v>7</v>
      </c>
    </row>
    <row r="466" spans="1:18" x14ac:dyDescent="0.3">
      <c r="A466">
        <v>465</v>
      </c>
      <c r="B466" t="s">
        <v>30</v>
      </c>
      <c r="C466" t="s">
        <v>517</v>
      </c>
      <c r="D466" t="str">
        <f>_xlfn.CONCAT(EmpTable[[#This Row],[First Name]],EmpTable[[#This Row],[Last Name]])</f>
        <v>AhmadHamuwd</v>
      </c>
      <c r="E466" t="s">
        <v>32</v>
      </c>
      <c r="F466" s="1">
        <v>43249</v>
      </c>
      <c r="G466" s="2">
        <f ca="1">DATEDIF(EmpTable[[#This Row],[Start Date]],TODAY(),"Y")</f>
        <v>7</v>
      </c>
      <c r="H466" s="2" t="str" cm="1">
        <f t="array" aca="1" ref="H466" ca="1">_xlfn.IFS(G466&lt;=1,"Fresh",G466&lt;=3,"Junior",G466&lt;=7,"Teamlead",G466&gt;=7,"manger")</f>
        <v>Teamlead</v>
      </c>
      <c r="I466" t="s">
        <v>53</v>
      </c>
      <c r="J466" t="s">
        <v>29</v>
      </c>
      <c r="K466" t="s">
        <v>36</v>
      </c>
      <c r="L466">
        <v>2321</v>
      </c>
      <c r="M466">
        <v>27852</v>
      </c>
      <c r="N466">
        <v>5</v>
      </c>
      <c r="O466" t="str" cm="1">
        <f t="array" ref="O466">_xlfn.IFS(EmpTable[[#This Row],[Job Rate]] &lt;=1,"LOW",N466&lt;=2,"LOW",N466&lt;=3,"MEDIUM",N466&gt;4,"HIGH")</f>
        <v>HIGH</v>
      </c>
      <c r="P466">
        <v>0</v>
      </c>
      <c r="Q466">
        <v>0</v>
      </c>
      <c r="R466">
        <v>6</v>
      </c>
    </row>
    <row r="467" spans="1:18" x14ac:dyDescent="0.3">
      <c r="A467">
        <v>466</v>
      </c>
      <c r="B467" t="s">
        <v>671</v>
      </c>
      <c r="C467" t="s">
        <v>672</v>
      </c>
      <c r="D467" t="str">
        <f>_xlfn.CONCAT(EmpTable[[#This Row],[First Name]],EmpTable[[#This Row],[Last Name]])</f>
        <v>IsmaeilJdwe</v>
      </c>
      <c r="E467" t="s">
        <v>32</v>
      </c>
      <c r="F467" s="1">
        <v>44109</v>
      </c>
      <c r="G467" s="2">
        <f ca="1">DATEDIF(EmpTable[[#This Row],[Start Date]],TODAY(),"Y")</f>
        <v>5</v>
      </c>
      <c r="H467" s="2" t="str" cm="1">
        <f t="array" aca="1" ref="H467" ca="1">_xlfn.IFS(G467&lt;=1,"Fresh",G467&lt;=3,"Junior",G467&lt;=7,"Teamlead",G467&gt;=7,"manger")</f>
        <v>Teamlead</v>
      </c>
      <c r="I467" t="s">
        <v>53</v>
      </c>
      <c r="J467" t="s">
        <v>29</v>
      </c>
      <c r="K467" t="s">
        <v>42</v>
      </c>
      <c r="L467">
        <v>899</v>
      </c>
      <c r="M467">
        <v>10788</v>
      </c>
      <c r="N467">
        <v>1</v>
      </c>
      <c r="O467" t="str" cm="1">
        <f t="array" ref="O467">_xlfn.IFS(EmpTable[[#This Row],[Job Rate]] &lt;=1,"LOW",N467&lt;=2,"LOW",N467&lt;=3,"MEDIUM",N467&gt;4,"HIGH")</f>
        <v>LOW</v>
      </c>
      <c r="P467">
        <v>4</v>
      </c>
      <c r="Q467">
        <v>0</v>
      </c>
      <c r="R467">
        <v>27</v>
      </c>
    </row>
    <row r="468" spans="1:18" x14ac:dyDescent="0.3">
      <c r="A468">
        <v>467</v>
      </c>
      <c r="B468" t="s">
        <v>33</v>
      </c>
      <c r="C468" t="s">
        <v>673</v>
      </c>
      <c r="D468" t="str">
        <f>_xlfn.CONCAT(EmpTable[[#This Row],[First Name]],EmpTable[[#This Row],[Last Name]])</f>
        <v>MuhamadSaeid Alzarey</v>
      </c>
      <c r="E468" t="s">
        <v>32</v>
      </c>
      <c r="F468" s="1">
        <v>43822</v>
      </c>
      <c r="G468" s="2">
        <f ca="1">DATEDIF(EmpTable[[#This Row],[Start Date]],TODAY(),"Y")</f>
        <v>6</v>
      </c>
      <c r="H468" s="2" t="str" cm="1">
        <f t="array" aca="1" ref="H468" ca="1">_xlfn.IFS(G468&lt;=1,"Fresh",G468&lt;=3,"Junior",G468&lt;=7,"Teamlead",G468&gt;=7,"manger")</f>
        <v>Teamlead</v>
      </c>
      <c r="I468" t="s">
        <v>88</v>
      </c>
      <c r="J468" t="s">
        <v>18</v>
      </c>
      <c r="K468" t="s">
        <v>36</v>
      </c>
      <c r="L468">
        <v>1168</v>
      </c>
      <c r="M468">
        <v>14016</v>
      </c>
      <c r="N468">
        <v>5</v>
      </c>
      <c r="O468" t="str" cm="1">
        <f t="array" ref="O468">_xlfn.IFS(EmpTable[[#This Row],[Job Rate]] &lt;=1,"LOW",N468&lt;=2,"LOW",N468&lt;=3,"MEDIUM",N468&gt;4,"HIGH")</f>
        <v>HIGH</v>
      </c>
      <c r="P468">
        <v>0</v>
      </c>
      <c r="Q468">
        <v>0</v>
      </c>
      <c r="R468">
        <v>8</v>
      </c>
    </row>
    <row r="469" spans="1:18" x14ac:dyDescent="0.3">
      <c r="A469">
        <v>468</v>
      </c>
      <c r="B469" t="s">
        <v>674</v>
      </c>
      <c r="C469" t="s">
        <v>675</v>
      </c>
      <c r="D469" t="str">
        <f>_xlfn.CONCAT(EmpTable[[#This Row],[First Name]],EmpTable[[#This Row],[Last Name]])</f>
        <v>BakrEubdallah</v>
      </c>
      <c r="E469" t="s">
        <v>32</v>
      </c>
      <c r="F469" s="1">
        <v>43194</v>
      </c>
      <c r="G469" s="2">
        <f ca="1">DATEDIF(EmpTable[[#This Row],[Start Date]],TODAY(),"Y")</f>
        <v>7</v>
      </c>
      <c r="H469" s="2" t="str" cm="1">
        <f t="array" aca="1" ref="H469" ca="1">_xlfn.IFS(G469&lt;=1,"Fresh",G469&lt;=3,"Junior",G469&lt;=7,"Teamlead",G469&gt;=7,"manger")</f>
        <v>Teamlead</v>
      </c>
      <c r="I469" t="s">
        <v>93</v>
      </c>
      <c r="J469" t="s">
        <v>18</v>
      </c>
      <c r="K469" t="s">
        <v>42</v>
      </c>
      <c r="L469">
        <v>2169</v>
      </c>
      <c r="M469">
        <v>26028</v>
      </c>
      <c r="N469">
        <v>1</v>
      </c>
      <c r="O469" t="str" cm="1">
        <f t="array" ref="O469">_xlfn.IFS(EmpTable[[#This Row],[Job Rate]] &lt;=1,"LOW",N469&lt;=2,"LOW",N469&lt;=3,"MEDIUM",N469&gt;4,"HIGH")</f>
        <v>LOW</v>
      </c>
      <c r="P469">
        <v>4</v>
      </c>
      <c r="Q469">
        <v>0</v>
      </c>
      <c r="R469">
        <v>2</v>
      </c>
    </row>
    <row r="470" spans="1:18" x14ac:dyDescent="0.3">
      <c r="A470">
        <v>469</v>
      </c>
      <c r="B470" t="s">
        <v>33</v>
      </c>
      <c r="C470" t="s">
        <v>388</v>
      </c>
      <c r="D470" t="str">
        <f>_xlfn.CONCAT(EmpTable[[#This Row],[First Name]],EmpTable[[#This Row],[Last Name]])</f>
        <v>MuhamadBasil</v>
      </c>
      <c r="E470" t="s">
        <v>32</v>
      </c>
      <c r="F470" s="1">
        <v>43900</v>
      </c>
      <c r="G470" s="2">
        <f ca="1">DATEDIF(EmpTable[[#This Row],[Start Date]],TODAY(),"Y")</f>
        <v>6</v>
      </c>
      <c r="H470" s="2" t="str" cm="1">
        <f t="array" aca="1" ref="H470" ca="1">_xlfn.IFS(G470&lt;=1,"Fresh",G470&lt;=3,"Junior",G470&lt;=7,"Teamlead",G470&gt;=7,"manger")</f>
        <v>Teamlead</v>
      </c>
      <c r="I470" t="s">
        <v>200</v>
      </c>
      <c r="J470" t="s">
        <v>294</v>
      </c>
      <c r="K470" t="s">
        <v>42</v>
      </c>
      <c r="L470">
        <v>2819</v>
      </c>
      <c r="M470">
        <v>33828</v>
      </c>
      <c r="N470">
        <v>4.5</v>
      </c>
      <c r="O470" t="str" cm="1">
        <f t="array" ref="O470">_xlfn.IFS(EmpTable[[#This Row],[Job Rate]] &lt;=1,"LOW",N470&lt;=2,"LOW",N470&lt;=3,"MEDIUM",N470&gt;4,"HIGH")</f>
        <v>HIGH</v>
      </c>
      <c r="P470">
        <v>5</v>
      </c>
      <c r="Q470">
        <v>0</v>
      </c>
      <c r="R470">
        <v>51</v>
      </c>
    </row>
    <row r="471" spans="1:18" x14ac:dyDescent="0.3">
      <c r="A471">
        <v>470</v>
      </c>
      <c r="B471" t="s">
        <v>30</v>
      </c>
      <c r="C471" t="s">
        <v>676</v>
      </c>
      <c r="D471" t="str">
        <f>_xlfn.CONCAT(EmpTable[[#This Row],[First Name]],EmpTable[[#This Row],[Last Name]])</f>
        <v>AhmadAlnajar</v>
      </c>
      <c r="E471" t="s">
        <v>32</v>
      </c>
      <c r="F471" s="1">
        <v>43403</v>
      </c>
      <c r="G471" s="2">
        <f ca="1">DATEDIF(EmpTable[[#This Row],[Start Date]],TODAY(),"Y")</f>
        <v>7</v>
      </c>
      <c r="H471" s="2" t="str" cm="1">
        <f t="array" aca="1" ref="H471" ca="1">_xlfn.IFS(G471&lt;=1,"Fresh",G471&lt;=3,"Junior",G471&lt;=7,"Teamlead",G471&gt;=7,"manger")</f>
        <v>Teamlead</v>
      </c>
      <c r="I471" t="s">
        <v>50</v>
      </c>
      <c r="J471" t="s">
        <v>29</v>
      </c>
      <c r="K471" t="s">
        <v>36</v>
      </c>
      <c r="L471">
        <v>847</v>
      </c>
      <c r="M471">
        <v>10164</v>
      </c>
      <c r="N471">
        <v>3</v>
      </c>
      <c r="O471" t="str" cm="1">
        <f t="array" ref="O471">_xlfn.IFS(EmpTable[[#This Row],[Job Rate]] &lt;=1,"LOW",N471&lt;=2,"LOW",N471&lt;=3,"MEDIUM",N471&gt;4,"HIGH")</f>
        <v>MEDIUM</v>
      </c>
      <c r="P471">
        <v>0</v>
      </c>
      <c r="Q471">
        <v>0</v>
      </c>
      <c r="R471">
        <v>3</v>
      </c>
    </row>
    <row r="472" spans="1:18" x14ac:dyDescent="0.3">
      <c r="A472">
        <v>471</v>
      </c>
      <c r="B472" t="s">
        <v>33</v>
      </c>
      <c r="C472" t="s">
        <v>546</v>
      </c>
      <c r="D472" t="str">
        <f>_xlfn.CONCAT(EmpTable[[#This Row],[First Name]],EmpTable[[#This Row],[Last Name]])</f>
        <v>MuhamadAlsaman</v>
      </c>
      <c r="E472" t="s">
        <v>32</v>
      </c>
      <c r="F472" s="1">
        <v>43900</v>
      </c>
      <c r="G472" s="2">
        <f ca="1">DATEDIF(EmpTable[[#This Row],[Start Date]],TODAY(),"Y")</f>
        <v>6</v>
      </c>
      <c r="H472" s="2" t="str" cm="1">
        <f t="array" aca="1" ref="H472" ca="1">_xlfn.IFS(G472&lt;=1,"Fresh",G472&lt;=3,"Junior",G472&lt;=7,"Teamlead",G472&gt;=7,"manger")</f>
        <v>Teamlead</v>
      </c>
      <c r="I472" t="s">
        <v>41</v>
      </c>
      <c r="J472" t="s">
        <v>18</v>
      </c>
      <c r="K472" t="s">
        <v>19</v>
      </c>
      <c r="L472">
        <v>2308</v>
      </c>
      <c r="M472">
        <v>27696</v>
      </c>
      <c r="N472">
        <v>2</v>
      </c>
      <c r="O472" t="str" cm="1">
        <f t="array" ref="O472">_xlfn.IFS(EmpTable[[#This Row],[Job Rate]] &lt;=1,"LOW",N472&lt;=2,"LOW",N472&lt;=3,"MEDIUM",N472&gt;4,"HIGH")</f>
        <v>LOW</v>
      </c>
      <c r="P472">
        <v>0</v>
      </c>
      <c r="Q472">
        <v>0</v>
      </c>
      <c r="R472">
        <v>13</v>
      </c>
    </row>
    <row r="473" spans="1:18" x14ac:dyDescent="0.3">
      <c r="A473">
        <v>472</v>
      </c>
      <c r="B473" t="s">
        <v>84</v>
      </c>
      <c r="C473" t="s">
        <v>677</v>
      </c>
      <c r="D473" t="str">
        <f>_xlfn.CONCAT(EmpTable[[#This Row],[First Name]],EmpTable[[#This Row],[Last Name]])</f>
        <v>LinaWayly</v>
      </c>
      <c r="E473" t="s">
        <v>307</v>
      </c>
      <c r="F473" s="1">
        <v>43435</v>
      </c>
      <c r="G473" s="2">
        <f ca="1">DATEDIF(EmpTable[[#This Row],[Start Date]],TODAY(),"Y")</f>
        <v>7</v>
      </c>
      <c r="H473" s="2" t="str" cm="1">
        <f t="array" aca="1" ref="H473" ca="1">_xlfn.IFS(G473&lt;=1,"Fresh",G473&lt;=3,"Junior",G473&lt;=7,"Teamlead",G473&gt;=7,"manger")</f>
        <v>Teamlead</v>
      </c>
      <c r="I473" t="s">
        <v>28</v>
      </c>
      <c r="J473" t="s">
        <v>18</v>
      </c>
      <c r="K473" t="s">
        <v>898</v>
      </c>
      <c r="L473">
        <v>1692</v>
      </c>
      <c r="M473">
        <v>20304</v>
      </c>
      <c r="N473">
        <v>4.5</v>
      </c>
      <c r="O473" t="str" cm="1">
        <f t="array" ref="O473">_xlfn.IFS(EmpTable[[#This Row],[Job Rate]] &lt;=1,"LOW",N473&lt;=2,"LOW",N473&lt;=3,"MEDIUM",N473&gt;4,"HIGH")</f>
        <v>HIGH</v>
      </c>
      <c r="P473">
        <v>4</v>
      </c>
      <c r="Q473">
        <v>0</v>
      </c>
      <c r="R473">
        <v>6</v>
      </c>
    </row>
    <row r="474" spans="1:18" x14ac:dyDescent="0.3">
      <c r="A474">
        <v>473</v>
      </c>
      <c r="B474" t="s">
        <v>678</v>
      </c>
      <c r="C474" t="s">
        <v>159</v>
      </c>
      <c r="D474" t="str">
        <f>_xlfn.CONCAT(EmpTable[[#This Row],[First Name]],EmpTable[[#This Row],[Last Name]])</f>
        <v>RaghidHutayniun</v>
      </c>
      <c r="E474" t="s">
        <v>32</v>
      </c>
      <c r="F474" s="1">
        <v>43159</v>
      </c>
      <c r="G474" s="2">
        <f ca="1">DATEDIF(EmpTable[[#This Row],[Start Date]],TODAY(),"Y")</f>
        <v>8</v>
      </c>
      <c r="H474" s="2" t="str" cm="1">
        <f t="array" aca="1" ref="H474" ca="1">_xlfn.IFS(G474&lt;=1,"Fresh",G474&lt;=3,"Junior",G474&lt;=7,"Teamlead",G474&gt;=7,"manger")</f>
        <v>manger</v>
      </c>
      <c r="I474" t="s">
        <v>77</v>
      </c>
      <c r="J474" t="s">
        <v>18</v>
      </c>
      <c r="K474" t="s">
        <v>42</v>
      </c>
      <c r="L474">
        <v>1372</v>
      </c>
      <c r="M474">
        <v>16464</v>
      </c>
      <c r="N474">
        <v>1</v>
      </c>
      <c r="O474" t="str" cm="1">
        <f t="array" ref="O474">_xlfn.IFS(EmpTable[[#This Row],[Job Rate]] &lt;=1,"LOW",N474&lt;=2,"LOW",N474&lt;=3,"MEDIUM",N474&gt;4,"HIGH")</f>
        <v>LOW</v>
      </c>
      <c r="P474">
        <v>0</v>
      </c>
      <c r="Q474">
        <v>0</v>
      </c>
      <c r="R474">
        <v>4</v>
      </c>
    </row>
    <row r="475" spans="1:18" x14ac:dyDescent="0.3">
      <c r="A475">
        <v>474</v>
      </c>
      <c r="B475" t="s">
        <v>413</v>
      </c>
      <c r="C475" t="s">
        <v>679</v>
      </c>
      <c r="D475" t="str">
        <f>_xlfn.CONCAT(EmpTable[[#This Row],[First Name]],EmpTable[[#This Row],[Last Name]])</f>
        <v>RubaAlsiraj</v>
      </c>
      <c r="E475" t="s">
        <v>307</v>
      </c>
      <c r="F475" s="1">
        <v>43617</v>
      </c>
      <c r="G475" s="2">
        <f ca="1">DATEDIF(EmpTable[[#This Row],[Start Date]],TODAY(),"Y")</f>
        <v>6</v>
      </c>
      <c r="H475" s="2" t="str" cm="1">
        <f t="array" aca="1" ref="H475" ca="1">_xlfn.IFS(G475&lt;=1,"Fresh",G475&lt;=3,"Junior",G475&lt;=7,"Teamlead",G475&gt;=7,"manger")</f>
        <v>Teamlead</v>
      </c>
      <c r="I475" t="s">
        <v>41</v>
      </c>
      <c r="J475" t="s">
        <v>18</v>
      </c>
      <c r="K475" t="s">
        <v>898</v>
      </c>
      <c r="L475">
        <v>2594</v>
      </c>
      <c r="M475">
        <v>31128</v>
      </c>
      <c r="N475">
        <v>3</v>
      </c>
      <c r="O475" t="str" cm="1">
        <f t="array" ref="O475">_xlfn.IFS(EmpTable[[#This Row],[Job Rate]] &lt;=1,"LOW",N475&lt;=2,"LOW",N475&lt;=3,"MEDIUM",N475&gt;4,"HIGH")</f>
        <v>MEDIUM</v>
      </c>
      <c r="P475">
        <v>5</v>
      </c>
      <c r="Q475">
        <v>0</v>
      </c>
      <c r="R475">
        <v>0</v>
      </c>
    </row>
    <row r="476" spans="1:18" x14ac:dyDescent="0.3">
      <c r="A476">
        <v>475</v>
      </c>
      <c r="B476" t="s">
        <v>460</v>
      </c>
      <c r="C476" t="s">
        <v>680</v>
      </c>
      <c r="D476" t="str">
        <f>_xlfn.CONCAT(EmpTable[[#This Row],[First Name]],EmpTable[[#This Row],[Last Name]])</f>
        <v>AdnanAllaadhiqanii</v>
      </c>
      <c r="E476" t="s">
        <v>32</v>
      </c>
      <c r="F476" s="1">
        <v>43237</v>
      </c>
      <c r="G476" s="2">
        <f ca="1">DATEDIF(EmpTable[[#This Row],[Start Date]],TODAY(),"Y")</f>
        <v>7</v>
      </c>
      <c r="H476" s="2" t="str" cm="1">
        <f t="array" aca="1" ref="H476" ca="1">_xlfn.IFS(G476&lt;=1,"Fresh",G476&lt;=3,"Junior",G476&lt;=7,"Teamlead",G476&gt;=7,"manger")</f>
        <v>Teamlead</v>
      </c>
      <c r="I476" t="s">
        <v>17</v>
      </c>
      <c r="J476" t="s">
        <v>18</v>
      </c>
      <c r="K476" t="s">
        <v>36</v>
      </c>
      <c r="L476">
        <v>1082</v>
      </c>
      <c r="M476">
        <v>12984</v>
      </c>
      <c r="N476">
        <v>5</v>
      </c>
      <c r="O476" t="str" cm="1">
        <f t="array" ref="O476">_xlfn.IFS(EmpTable[[#This Row],[Job Rate]] &lt;=1,"LOW",N476&lt;=2,"LOW",N476&lt;=3,"MEDIUM",N476&gt;4,"HIGH")</f>
        <v>HIGH</v>
      </c>
      <c r="P476">
        <v>1</v>
      </c>
      <c r="Q476">
        <v>4</v>
      </c>
      <c r="R476">
        <v>8</v>
      </c>
    </row>
    <row r="477" spans="1:18" x14ac:dyDescent="0.3">
      <c r="A477">
        <v>476</v>
      </c>
      <c r="B477" t="s">
        <v>33</v>
      </c>
      <c r="C477" t="s">
        <v>308</v>
      </c>
      <c r="D477" t="str">
        <f>_xlfn.CONCAT(EmpTable[[#This Row],[First Name]],EmpTable[[#This Row],[Last Name]])</f>
        <v>MuhamadShaeban</v>
      </c>
      <c r="E477" t="s">
        <v>32</v>
      </c>
      <c r="F477" s="1">
        <v>43413</v>
      </c>
      <c r="G477" s="2">
        <f ca="1">DATEDIF(EmpTable[[#This Row],[Start Date]],TODAY(),"Y")</f>
        <v>7</v>
      </c>
      <c r="H477" s="2" t="str" cm="1">
        <f t="array" aca="1" ref="H477" ca="1">_xlfn.IFS(G477&lt;=1,"Fresh",G477&lt;=3,"Junior",G477&lt;=7,"Teamlead",G477&gt;=7,"manger")</f>
        <v>Teamlead</v>
      </c>
      <c r="I477" t="s">
        <v>28</v>
      </c>
      <c r="J477" t="s">
        <v>18</v>
      </c>
      <c r="K477" t="s">
        <v>19</v>
      </c>
      <c r="L477">
        <v>1929</v>
      </c>
      <c r="M477">
        <v>23148</v>
      </c>
      <c r="N477">
        <v>5</v>
      </c>
      <c r="O477" t="str" cm="1">
        <f t="array" ref="O477">_xlfn.IFS(EmpTable[[#This Row],[Job Rate]] &lt;=1,"LOW",N477&lt;=2,"LOW",N477&lt;=3,"MEDIUM",N477&gt;4,"HIGH")</f>
        <v>HIGH</v>
      </c>
      <c r="P477">
        <v>3</v>
      </c>
      <c r="Q477">
        <v>0</v>
      </c>
      <c r="R477">
        <v>43</v>
      </c>
    </row>
    <row r="478" spans="1:18" x14ac:dyDescent="0.3">
      <c r="A478">
        <v>477</v>
      </c>
      <c r="B478" t="s">
        <v>681</v>
      </c>
      <c r="C478" t="s">
        <v>80</v>
      </c>
      <c r="D478" t="str">
        <f>_xlfn.CONCAT(EmpTable[[#This Row],[First Name]],EmpTable[[#This Row],[Last Name]])</f>
        <v>GhyathAbu</v>
      </c>
      <c r="E478" t="s">
        <v>32</v>
      </c>
      <c r="F478" s="1">
        <v>43720</v>
      </c>
      <c r="G478" s="2">
        <f ca="1">DATEDIF(EmpTable[[#This Row],[Start Date]],TODAY(),"Y")</f>
        <v>6</v>
      </c>
      <c r="H478" s="2" t="str" cm="1">
        <f t="array" aca="1" ref="H478" ca="1">_xlfn.IFS(G478&lt;=1,"Fresh",G478&lt;=3,"Junior",G478&lt;=7,"Teamlead",G478&gt;=7,"manger")</f>
        <v>Teamlead</v>
      </c>
      <c r="I478" t="s">
        <v>28</v>
      </c>
      <c r="J478" t="s">
        <v>22</v>
      </c>
      <c r="K478" t="s">
        <v>42</v>
      </c>
      <c r="L478">
        <v>1883</v>
      </c>
      <c r="M478">
        <v>22596</v>
      </c>
      <c r="N478">
        <v>3</v>
      </c>
      <c r="O478" t="str" cm="1">
        <f t="array" ref="O478">_xlfn.IFS(EmpTable[[#This Row],[Job Rate]] &lt;=1,"LOW",N478&lt;=2,"LOW",N478&lt;=3,"MEDIUM",N478&gt;4,"HIGH")</f>
        <v>MEDIUM</v>
      </c>
      <c r="P478">
        <v>3</v>
      </c>
      <c r="Q478">
        <v>0</v>
      </c>
      <c r="R478">
        <v>3</v>
      </c>
    </row>
    <row r="479" spans="1:18" x14ac:dyDescent="0.3">
      <c r="A479">
        <v>478</v>
      </c>
      <c r="B479" t="s">
        <v>388</v>
      </c>
      <c r="C479" t="s">
        <v>512</v>
      </c>
      <c r="D479" t="str">
        <f>_xlfn.CONCAT(EmpTable[[#This Row],[First Name]],EmpTable[[#This Row],[Last Name]])</f>
        <v>BasilFarahat</v>
      </c>
      <c r="E479" t="s">
        <v>32</v>
      </c>
      <c r="F479" s="1">
        <v>43594</v>
      </c>
      <c r="G479" s="2">
        <f ca="1">DATEDIF(EmpTable[[#This Row],[Start Date]],TODAY(),"Y")</f>
        <v>6</v>
      </c>
      <c r="H479" s="2" t="str" cm="1">
        <f t="array" aca="1" ref="H479" ca="1">_xlfn.IFS(G479&lt;=1,"Fresh",G479&lt;=3,"Junior",G479&lt;=7,"Teamlead",G479&gt;=7,"manger")</f>
        <v>Teamlead</v>
      </c>
      <c r="I479" t="s">
        <v>41</v>
      </c>
      <c r="J479" t="s">
        <v>29</v>
      </c>
      <c r="K479" t="s">
        <v>19</v>
      </c>
      <c r="L479">
        <v>874</v>
      </c>
      <c r="M479">
        <v>10488</v>
      </c>
      <c r="N479">
        <v>3</v>
      </c>
      <c r="O479" t="str" cm="1">
        <f t="array" ref="O479">_xlfn.IFS(EmpTable[[#This Row],[Job Rate]] &lt;=1,"LOW",N479&lt;=2,"LOW",N479&lt;=3,"MEDIUM",N479&gt;4,"HIGH")</f>
        <v>MEDIUM</v>
      </c>
      <c r="P479">
        <v>0</v>
      </c>
      <c r="Q479">
        <v>0</v>
      </c>
      <c r="R479">
        <v>7</v>
      </c>
    </row>
    <row r="480" spans="1:18" x14ac:dyDescent="0.3">
      <c r="A480">
        <v>479</v>
      </c>
      <c r="B480" t="s">
        <v>165</v>
      </c>
      <c r="C480" t="s">
        <v>682</v>
      </c>
      <c r="D480" t="str">
        <f>_xlfn.CONCAT(EmpTable[[#This Row],[First Name]],EmpTable[[#This Row],[Last Name]])</f>
        <v>KhalidSiriul</v>
      </c>
      <c r="E480" t="s">
        <v>32</v>
      </c>
      <c r="F480" s="1">
        <v>42603</v>
      </c>
      <c r="G480" s="2">
        <f ca="1">DATEDIF(EmpTable[[#This Row],[Start Date]],TODAY(),"Y")</f>
        <v>9</v>
      </c>
      <c r="H480" s="2" t="str" cm="1">
        <f t="array" aca="1" ref="H480" ca="1">_xlfn.IFS(G480&lt;=1,"Fresh",G480&lt;=3,"Junior",G480&lt;=7,"Teamlead",G480&gt;=7,"manger")</f>
        <v>manger</v>
      </c>
      <c r="I480" t="s">
        <v>17</v>
      </c>
      <c r="J480" t="s">
        <v>22</v>
      </c>
      <c r="K480" t="s">
        <v>19</v>
      </c>
      <c r="L480">
        <v>2780</v>
      </c>
      <c r="M480">
        <v>33360</v>
      </c>
      <c r="N480">
        <v>3</v>
      </c>
      <c r="O480" t="str" cm="1">
        <f t="array" ref="O480">_xlfn.IFS(EmpTable[[#This Row],[Job Rate]] &lt;=1,"LOW",N480&lt;=2,"LOW",N480&lt;=3,"MEDIUM",N480&gt;4,"HIGH")</f>
        <v>MEDIUM</v>
      </c>
      <c r="P480">
        <v>3</v>
      </c>
      <c r="Q480">
        <v>0</v>
      </c>
      <c r="R480">
        <v>2</v>
      </c>
    </row>
    <row r="481" spans="1:18" x14ac:dyDescent="0.3">
      <c r="A481">
        <v>480</v>
      </c>
      <c r="B481" t="s">
        <v>207</v>
      </c>
      <c r="C481" t="s">
        <v>130</v>
      </c>
      <c r="D481" t="str">
        <f>_xlfn.CONCAT(EmpTable[[#This Row],[First Name]],EmpTable[[#This Row],[Last Name]])</f>
        <v>Salah AldiynSalayk</v>
      </c>
      <c r="E481" t="s">
        <v>32</v>
      </c>
      <c r="F481" s="1">
        <v>43832</v>
      </c>
      <c r="G481" s="2">
        <f ca="1">DATEDIF(EmpTable[[#This Row],[Start Date]],TODAY(),"Y")</f>
        <v>6</v>
      </c>
      <c r="H481" s="2" t="str" cm="1">
        <f t="array" aca="1" ref="H481" ca="1">_xlfn.IFS(G481&lt;=1,"Fresh",G481&lt;=3,"Junior",G481&lt;=7,"Teamlead",G481&gt;=7,"manger")</f>
        <v>Teamlead</v>
      </c>
      <c r="I481" t="s">
        <v>50</v>
      </c>
      <c r="J481" t="s">
        <v>48</v>
      </c>
      <c r="K481" t="s">
        <v>60</v>
      </c>
      <c r="L481">
        <v>1980</v>
      </c>
      <c r="M481">
        <v>23760</v>
      </c>
      <c r="N481">
        <v>2</v>
      </c>
      <c r="O481" t="str" cm="1">
        <f t="array" ref="O481">_xlfn.IFS(EmpTable[[#This Row],[Job Rate]] &lt;=1,"LOW",N481&lt;=2,"LOW",N481&lt;=3,"MEDIUM",N481&gt;4,"HIGH")</f>
        <v>LOW</v>
      </c>
      <c r="P481">
        <v>3</v>
      </c>
      <c r="Q481">
        <v>0</v>
      </c>
      <c r="R481">
        <v>0</v>
      </c>
    </row>
    <row r="482" spans="1:18" x14ac:dyDescent="0.3">
      <c r="A482">
        <v>481</v>
      </c>
      <c r="B482" t="s">
        <v>71</v>
      </c>
      <c r="C482" t="s">
        <v>683</v>
      </c>
      <c r="D482" t="str">
        <f>_xlfn.CONCAT(EmpTable[[#This Row],[First Name]],EmpTable[[#This Row],[Last Name]])</f>
        <v>BilalEinziin</v>
      </c>
      <c r="E482" t="s">
        <v>32</v>
      </c>
      <c r="F482" s="1">
        <v>43832</v>
      </c>
      <c r="G482" s="2">
        <f ca="1">DATEDIF(EmpTable[[#This Row],[Start Date]],TODAY(),"Y")</f>
        <v>6</v>
      </c>
      <c r="H482" s="2" t="str" cm="1">
        <f t="array" aca="1" ref="H482" ca="1">_xlfn.IFS(G482&lt;=1,"Fresh",G482&lt;=3,"Junior",G482&lt;=7,"Teamlead",G482&gt;=7,"manger")</f>
        <v>Teamlead</v>
      </c>
      <c r="I482" t="s">
        <v>25</v>
      </c>
      <c r="J482" t="s">
        <v>48</v>
      </c>
      <c r="K482" t="s">
        <v>42</v>
      </c>
      <c r="L482">
        <v>2611</v>
      </c>
      <c r="M482">
        <v>31332</v>
      </c>
      <c r="N482">
        <v>5</v>
      </c>
      <c r="O482" t="str" cm="1">
        <f t="array" ref="O482">_xlfn.IFS(EmpTable[[#This Row],[Job Rate]] &lt;=1,"LOW",N482&lt;=2,"LOW",N482&lt;=3,"MEDIUM",N482&gt;4,"HIGH")</f>
        <v>HIGH</v>
      </c>
      <c r="P482">
        <v>4</v>
      </c>
      <c r="Q482">
        <v>0</v>
      </c>
      <c r="R482">
        <v>9</v>
      </c>
    </row>
    <row r="483" spans="1:18" x14ac:dyDescent="0.3">
      <c r="A483">
        <v>482</v>
      </c>
      <c r="B483" t="s">
        <v>684</v>
      </c>
      <c r="C483" t="s">
        <v>685</v>
      </c>
      <c r="D483" t="str">
        <f>_xlfn.CONCAT(EmpTable[[#This Row],[First Name]],EmpTable[[#This Row],[Last Name]])</f>
        <v>AbdalrhminAljuju</v>
      </c>
      <c r="E483" t="s">
        <v>32</v>
      </c>
      <c r="F483" s="1">
        <v>43141</v>
      </c>
      <c r="G483" s="2">
        <f ca="1">DATEDIF(EmpTable[[#This Row],[Start Date]],TODAY(),"Y")</f>
        <v>8</v>
      </c>
      <c r="H483" s="2" t="str" cm="1">
        <f t="array" aca="1" ref="H483" ca="1">_xlfn.IFS(G483&lt;=1,"Fresh",G483&lt;=3,"Junior",G483&lt;=7,"Teamlead",G483&gt;=7,"manger")</f>
        <v>manger</v>
      </c>
      <c r="I483" t="s">
        <v>200</v>
      </c>
      <c r="J483" t="s">
        <v>48</v>
      </c>
      <c r="K483" t="s">
        <v>898</v>
      </c>
      <c r="L483">
        <v>1881</v>
      </c>
      <c r="M483">
        <v>22572</v>
      </c>
      <c r="N483">
        <v>5</v>
      </c>
      <c r="O483" t="str" cm="1">
        <f t="array" ref="O483">_xlfn.IFS(EmpTable[[#This Row],[Job Rate]] &lt;=1,"LOW",N483&lt;=2,"LOW",N483&lt;=3,"MEDIUM",N483&gt;4,"HIGH")</f>
        <v>HIGH</v>
      </c>
      <c r="P483">
        <v>1</v>
      </c>
      <c r="Q483">
        <v>0</v>
      </c>
      <c r="R483">
        <v>1</v>
      </c>
    </row>
    <row r="484" spans="1:18" x14ac:dyDescent="0.3">
      <c r="A484">
        <v>483</v>
      </c>
      <c r="B484" t="s">
        <v>686</v>
      </c>
      <c r="C484" t="s">
        <v>687</v>
      </c>
      <c r="D484" t="str">
        <f>_xlfn.CONCAT(EmpTable[[#This Row],[First Name]],EmpTable[[#This Row],[Last Name]])</f>
        <v>LawyNadaf</v>
      </c>
      <c r="E484" t="s">
        <v>32</v>
      </c>
      <c r="F484" s="1">
        <v>42530</v>
      </c>
      <c r="G484" s="2">
        <f ca="1">DATEDIF(EmpTable[[#This Row],[Start Date]],TODAY(),"Y")</f>
        <v>9</v>
      </c>
      <c r="H484" s="2" t="str" cm="1">
        <f t="array" aca="1" ref="H484" ca="1">_xlfn.IFS(G484&lt;=1,"Fresh",G484&lt;=3,"Junior",G484&lt;=7,"Teamlead",G484&gt;=7,"manger")</f>
        <v>manger</v>
      </c>
      <c r="I484" t="s">
        <v>28</v>
      </c>
      <c r="J484" t="s">
        <v>18</v>
      </c>
      <c r="K484" t="s">
        <v>19</v>
      </c>
      <c r="L484">
        <v>1517</v>
      </c>
      <c r="M484">
        <v>18204</v>
      </c>
      <c r="N484">
        <v>5</v>
      </c>
      <c r="O484" t="str" cm="1">
        <f t="array" ref="O484">_xlfn.IFS(EmpTable[[#This Row],[Job Rate]] &lt;=1,"LOW",N484&lt;=2,"LOW",N484&lt;=3,"MEDIUM",N484&gt;4,"HIGH")</f>
        <v>HIGH</v>
      </c>
      <c r="P484">
        <v>4</v>
      </c>
      <c r="Q484">
        <v>0</v>
      </c>
      <c r="R484">
        <v>6</v>
      </c>
    </row>
    <row r="485" spans="1:18" x14ac:dyDescent="0.3">
      <c r="A485">
        <v>484</v>
      </c>
      <c r="B485" t="s">
        <v>186</v>
      </c>
      <c r="C485" t="s">
        <v>33</v>
      </c>
      <c r="D485" t="str">
        <f>_xlfn.CONCAT(EmpTable[[#This Row],[First Name]],EmpTable[[#This Row],[Last Name]])</f>
        <v>AliMuhamad</v>
      </c>
      <c r="E485" t="s">
        <v>32</v>
      </c>
      <c r="F485" s="1">
        <v>43825</v>
      </c>
      <c r="G485" s="2">
        <f ca="1">DATEDIF(EmpTable[[#This Row],[Start Date]],TODAY(),"Y")</f>
        <v>6</v>
      </c>
      <c r="H485" s="2" t="str" cm="1">
        <f t="array" aca="1" ref="H485" ca="1">_xlfn.IFS(G485&lt;=1,"Fresh",G485&lt;=3,"Junior",G485&lt;=7,"Teamlead",G485&gt;=7,"manger")</f>
        <v>Teamlead</v>
      </c>
      <c r="I485" t="s">
        <v>35</v>
      </c>
      <c r="J485" t="s">
        <v>18</v>
      </c>
      <c r="K485" t="s">
        <v>19</v>
      </c>
      <c r="L485">
        <v>1459</v>
      </c>
      <c r="M485">
        <v>17508</v>
      </c>
      <c r="N485">
        <v>4.5</v>
      </c>
      <c r="O485" t="str" cm="1">
        <f t="array" ref="O485">_xlfn.IFS(EmpTable[[#This Row],[Job Rate]] &lt;=1,"LOW",N485&lt;=2,"LOW",N485&lt;=3,"MEDIUM",N485&gt;4,"HIGH")</f>
        <v>HIGH</v>
      </c>
      <c r="P485">
        <v>0</v>
      </c>
      <c r="Q485">
        <v>0</v>
      </c>
      <c r="R485">
        <v>10</v>
      </c>
    </row>
    <row r="486" spans="1:18" x14ac:dyDescent="0.3">
      <c r="A486">
        <v>485</v>
      </c>
      <c r="B486" t="s">
        <v>219</v>
      </c>
      <c r="C486" t="s">
        <v>688</v>
      </c>
      <c r="D486" t="str">
        <f>_xlfn.CONCAT(EmpTable[[#This Row],[First Name]],EmpTable[[#This Row],[Last Name]])</f>
        <v>MahirBikar</v>
      </c>
      <c r="E486" t="s">
        <v>32</v>
      </c>
      <c r="F486" s="1">
        <v>43761</v>
      </c>
      <c r="G486" s="2">
        <f ca="1">DATEDIF(EmpTable[[#This Row],[Start Date]],TODAY(),"Y")</f>
        <v>6</v>
      </c>
      <c r="H486" s="2" t="str" cm="1">
        <f t="array" aca="1" ref="H486" ca="1">_xlfn.IFS(G486&lt;=1,"Fresh",G486&lt;=3,"Junior",G486&lt;=7,"Teamlead",G486&gt;=7,"manger")</f>
        <v>Teamlead</v>
      </c>
      <c r="I486" t="s">
        <v>88</v>
      </c>
      <c r="J486" t="s">
        <v>22</v>
      </c>
      <c r="K486" t="s">
        <v>42</v>
      </c>
      <c r="L486">
        <v>2383</v>
      </c>
      <c r="M486">
        <v>28596</v>
      </c>
      <c r="N486">
        <v>3</v>
      </c>
      <c r="O486" t="str" cm="1">
        <f t="array" ref="O486">_xlfn.IFS(EmpTable[[#This Row],[Job Rate]] &lt;=1,"LOW",N486&lt;=2,"LOW",N486&lt;=3,"MEDIUM",N486&gt;4,"HIGH")</f>
        <v>MEDIUM</v>
      </c>
      <c r="P486">
        <v>0</v>
      </c>
      <c r="Q486">
        <v>0</v>
      </c>
      <c r="R486">
        <v>0</v>
      </c>
    </row>
    <row r="487" spans="1:18" x14ac:dyDescent="0.3">
      <c r="A487">
        <v>486</v>
      </c>
      <c r="B487" t="s">
        <v>49</v>
      </c>
      <c r="C487" t="s">
        <v>461</v>
      </c>
      <c r="D487" t="str">
        <f>_xlfn.CONCAT(EmpTable[[#This Row],[First Name]],EmpTable[[#This Row],[Last Name]])</f>
        <v>IadAlhusayn</v>
      </c>
      <c r="E487" t="s">
        <v>32</v>
      </c>
      <c r="F487" s="1">
        <v>43168</v>
      </c>
      <c r="G487" s="2">
        <f ca="1">DATEDIF(EmpTable[[#This Row],[Start Date]],TODAY(),"Y")</f>
        <v>8</v>
      </c>
      <c r="H487" s="2" t="str" cm="1">
        <f t="array" aca="1" ref="H487" ca="1">_xlfn.IFS(G487&lt;=1,"Fresh",G487&lt;=3,"Junior",G487&lt;=7,"Teamlead",G487&gt;=7,"manger")</f>
        <v>manger</v>
      </c>
      <c r="I487" t="s">
        <v>77</v>
      </c>
      <c r="J487" t="s">
        <v>18</v>
      </c>
      <c r="K487" t="s">
        <v>60</v>
      </c>
      <c r="L487">
        <v>1420</v>
      </c>
      <c r="M487">
        <v>17040</v>
      </c>
      <c r="N487">
        <v>5</v>
      </c>
      <c r="O487" t="str" cm="1">
        <f t="array" ref="O487">_xlfn.IFS(EmpTable[[#This Row],[Job Rate]] &lt;=1,"LOW",N487&lt;=2,"LOW",N487&lt;=3,"MEDIUM",N487&gt;4,"HIGH")</f>
        <v>HIGH</v>
      </c>
      <c r="P487">
        <v>2</v>
      </c>
      <c r="Q487">
        <v>6</v>
      </c>
      <c r="R487">
        <v>7</v>
      </c>
    </row>
    <row r="488" spans="1:18" x14ac:dyDescent="0.3">
      <c r="A488">
        <v>487</v>
      </c>
      <c r="B488" t="s">
        <v>357</v>
      </c>
      <c r="C488" t="s">
        <v>689</v>
      </c>
      <c r="D488" t="str">
        <f>_xlfn.CONCAT(EmpTable[[#This Row],[First Name]],EmpTable[[#This Row],[Last Name]])</f>
        <v>HusamZiada</v>
      </c>
      <c r="E488" t="s">
        <v>32</v>
      </c>
      <c r="F488" s="1">
        <v>43358</v>
      </c>
      <c r="G488" s="2">
        <f ca="1">DATEDIF(EmpTable[[#This Row],[Start Date]],TODAY(),"Y")</f>
        <v>7</v>
      </c>
      <c r="H488" s="2" t="str" cm="1">
        <f t="array" aca="1" ref="H488" ca="1">_xlfn.IFS(G488&lt;=1,"Fresh",G488&lt;=3,"Junior",G488&lt;=7,"Teamlead",G488&gt;=7,"manger")</f>
        <v>Teamlead</v>
      </c>
      <c r="I488" t="s">
        <v>25</v>
      </c>
      <c r="J488" t="s">
        <v>18</v>
      </c>
      <c r="K488" t="s">
        <v>36</v>
      </c>
      <c r="L488">
        <v>1382</v>
      </c>
      <c r="M488">
        <v>16584</v>
      </c>
      <c r="N488">
        <v>4.5</v>
      </c>
      <c r="O488" t="str" cm="1">
        <f t="array" ref="O488">_xlfn.IFS(EmpTable[[#This Row],[Job Rate]] &lt;=1,"LOW",N488&lt;=2,"LOW",N488&lt;=3,"MEDIUM",N488&gt;4,"HIGH")</f>
        <v>HIGH</v>
      </c>
      <c r="P488">
        <v>0</v>
      </c>
      <c r="Q488">
        <v>1</v>
      </c>
      <c r="R488">
        <v>14</v>
      </c>
    </row>
    <row r="489" spans="1:18" x14ac:dyDescent="0.3">
      <c r="A489">
        <v>488</v>
      </c>
      <c r="B489" t="s">
        <v>30</v>
      </c>
      <c r="C489" t="s">
        <v>690</v>
      </c>
      <c r="D489" t="str">
        <f>_xlfn.CONCAT(EmpTable[[#This Row],[First Name]],EmpTable[[#This Row],[Last Name]])</f>
        <v>AhmadEashur</v>
      </c>
      <c r="E489" t="s">
        <v>32</v>
      </c>
      <c r="F489" s="1">
        <v>44097</v>
      </c>
      <c r="G489" s="2">
        <f ca="1">DATEDIF(EmpTable[[#This Row],[Start Date]],TODAY(),"Y")</f>
        <v>5</v>
      </c>
      <c r="H489" s="2" t="str" cm="1">
        <f t="array" aca="1" ref="H489" ca="1">_xlfn.IFS(G489&lt;=1,"Fresh",G489&lt;=3,"Junior",G489&lt;=7,"Teamlead",G489&gt;=7,"manger")</f>
        <v>Teamlead</v>
      </c>
      <c r="I489" t="s">
        <v>50</v>
      </c>
      <c r="J489" t="s">
        <v>29</v>
      </c>
      <c r="K489" t="s">
        <v>19</v>
      </c>
      <c r="L489">
        <v>1920</v>
      </c>
      <c r="M489">
        <v>23040</v>
      </c>
      <c r="N489">
        <v>5</v>
      </c>
      <c r="O489" t="str" cm="1">
        <f t="array" ref="O489">_xlfn.IFS(EmpTable[[#This Row],[Job Rate]] &lt;=1,"LOW",N489&lt;=2,"LOW",N489&lt;=3,"MEDIUM",N489&gt;4,"HIGH")</f>
        <v>HIGH</v>
      </c>
      <c r="P489">
        <v>0</v>
      </c>
      <c r="Q489">
        <v>5</v>
      </c>
      <c r="R489">
        <v>1</v>
      </c>
    </row>
    <row r="490" spans="1:18" x14ac:dyDescent="0.3">
      <c r="A490">
        <v>489</v>
      </c>
      <c r="B490" t="s">
        <v>30</v>
      </c>
      <c r="C490" t="s">
        <v>691</v>
      </c>
      <c r="D490" t="str">
        <f>_xlfn.CONCAT(EmpTable[[#This Row],[First Name]],EmpTable[[#This Row],[Last Name]])</f>
        <v>AhmadNaqawuh</v>
      </c>
      <c r="E490" t="s">
        <v>32</v>
      </c>
      <c r="F490" s="1">
        <v>44091</v>
      </c>
      <c r="G490" s="2">
        <f ca="1">DATEDIF(EmpTable[[#This Row],[Start Date]],TODAY(),"Y")</f>
        <v>5</v>
      </c>
      <c r="H490" s="2" t="str" cm="1">
        <f t="array" aca="1" ref="H490" ca="1">_xlfn.IFS(G490&lt;=1,"Fresh",G490&lt;=3,"Junior",G490&lt;=7,"Teamlead",G490&gt;=7,"manger")</f>
        <v>Teamlead</v>
      </c>
      <c r="I490" t="s">
        <v>77</v>
      </c>
      <c r="J490" t="s">
        <v>18</v>
      </c>
      <c r="K490" t="s">
        <v>36</v>
      </c>
      <c r="L490">
        <v>1202</v>
      </c>
      <c r="M490">
        <v>14424</v>
      </c>
      <c r="N490">
        <v>4.5</v>
      </c>
      <c r="O490" t="str" cm="1">
        <f t="array" ref="O490">_xlfn.IFS(EmpTable[[#This Row],[Job Rate]] &lt;=1,"LOW",N490&lt;=2,"LOW",N490&lt;=3,"MEDIUM",N490&gt;4,"HIGH")</f>
        <v>HIGH</v>
      </c>
      <c r="P490">
        <v>0</v>
      </c>
      <c r="Q490">
        <v>0</v>
      </c>
      <c r="R490">
        <v>92</v>
      </c>
    </row>
    <row r="491" spans="1:18" x14ac:dyDescent="0.3">
      <c r="A491">
        <v>490</v>
      </c>
      <c r="B491" t="s">
        <v>692</v>
      </c>
      <c r="C491" t="s">
        <v>693</v>
      </c>
      <c r="D491" t="str">
        <f>_xlfn.CONCAT(EmpTable[[#This Row],[First Name]],EmpTable[[#This Row],[Last Name]])</f>
        <v>TamadurBarghuth</v>
      </c>
      <c r="E491" t="s">
        <v>307</v>
      </c>
      <c r="F491" s="1">
        <v>43156</v>
      </c>
      <c r="G491" s="2">
        <f ca="1">DATEDIF(EmpTable[[#This Row],[Start Date]],TODAY(),"Y")</f>
        <v>8</v>
      </c>
      <c r="H491" s="2" t="str" cm="1">
        <f t="array" aca="1" ref="H491" ca="1">_xlfn.IFS(G491&lt;=1,"Fresh",G491&lt;=3,"Junior",G491&lt;=7,"Teamlead",G491&gt;=7,"manger")</f>
        <v>manger</v>
      </c>
      <c r="I491" t="s">
        <v>58</v>
      </c>
      <c r="J491" t="s">
        <v>22</v>
      </c>
      <c r="K491" t="s">
        <v>19</v>
      </c>
      <c r="L491">
        <v>1158</v>
      </c>
      <c r="M491">
        <v>13896</v>
      </c>
      <c r="N491">
        <v>5</v>
      </c>
      <c r="O491" t="str" cm="1">
        <f t="array" ref="O491">_xlfn.IFS(EmpTable[[#This Row],[Job Rate]] &lt;=1,"LOW",N491&lt;=2,"LOW",N491&lt;=3,"MEDIUM",N491&gt;4,"HIGH")</f>
        <v>HIGH</v>
      </c>
      <c r="P491">
        <v>0</v>
      </c>
      <c r="Q491">
        <v>0</v>
      </c>
      <c r="R491">
        <v>7</v>
      </c>
    </row>
    <row r="492" spans="1:18" x14ac:dyDescent="0.3">
      <c r="A492">
        <v>491</v>
      </c>
      <c r="B492" t="s">
        <v>327</v>
      </c>
      <c r="C492" t="s">
        <v>694</v>
      </c>
      <c r="D492" t="str">
        <f>_xlfn.CONCAT(EmpTable[[#This Row],[First Name]],EmpTable[[#This Row],[Last Name]])</f>
        <v>DieaJazar</v>
      </c>
      <c r="E492" t="s">
        <v>32</v>
      </c>
      <c r="F492" s="1">
        <v>43850</v>
      </c>
      <c r="G492" s="2">
        <f ca="1">DATEDIF(EmpTable[[#This Row],[Start Date]],TODAY(),"Y")</f>
        <v>6</v>
      </c>
      <c r="H492" s="2" t="str" cm="1">
        <f t="array" aca="1" ref="H492" ca="1">_xlfn.IFS(G492&lt;=1,"Fresh",G492&lt;=3,"Junior",G492&lt;=7,"Teamlead",G492&gt;=7,"manger")</f>
        <v>Teamlead</v>
      </c>
      <c r="I492" t="s">
        <v>17</v>
      </c>
      <c r="J492" t="s">
        <v>18</v>
      </c>
      <c r="K492" t="s">
        <v>36</v>
      </c>
      <c r="L492">
        <v>1447</v>
      </c>
      <c r="M492">
        <v>17364</v>
      </c>
      <c r="N492">
        <v>3</v>
      </c>
      <c r="O492" t="str" cm="1">
        <f t="array" ref="O492">_xlfn.IFS(EmpTable[[#This Row],[Job Rate]] &lt;=1,"LOW",N492&lt;=2,"LOW",N492&lt;=3,"MEDIUM",N492&gt;4,"HIGH")</f>
        <v>MEDIUM</v>
      </c>
      <c r="P492">
        <v>0</v>
      </c>
      <c r="Q492">
        <v>0</v>
      </c>
      <c r="R492">
        <v>7</v>
      </c>
    </row>
    <row r="493" spans="1:18" x14ac:dyDescent="0.3">
      <c r="A493">
        <v>492</v>
      </c>
      <c r="B493" t="s">
        <v>223</v>
      </c>
      <c r="C493" t="s">
        <v>695</v>
      </c>
      <c r="D493" t="str">
        <f>_xlfn.CONCAT(EmpTable[[#This Row],[First Name]],EmpTable[[#This Row],[Last Name]])</f>
        <v>BashsharMareiun</v>
      </c>
      <c r="E493" t="s">
        <v>32</v>
      </c>
      <c r="F493" s="1">
        <v>43731</v>
      </c>
      <c r="G493" s="2">
        <f ca="1">DATEDIF(EmpTable[[#This Row],[Start Date]],TODAY(),"Y")</f>
        <v>6</v>
      </c>
      <c r="H493" s="2" t="str" cm="1">
        <f t="array" aca="1" ref="H493" ca="1">_xlfn.IFS(G493&lt;=1,"Fresh",G493&lt;=3,"Junior",G493&lt;=7,"Teamlead",G493&gt;=7,"manger")</f>
        <v>Teamlead</v>
      </c>
      <c r="I493" t="s">
        <v>39</v>
      </c>
      <c r="J493" t="s">
        <v>22</v>
      </c>
      <c r="K493" t="s">
        <v>898</v>
      </c>
      <c r="L493">
        <v>1598</v>
      </c>
      <c r="M493">
        <v>19176</v>
      </c>
      <c r="N493">
        <v>3</v>
      </c>
      <c r="O493" t="str" cm="1">
        <f t="array" ref="O493">_xlfn.IFS(EmpTable[[#This Row],[Job Rate]] &lt;=1,"LOW",N493&lt;=2,"LOW",N493&lt;=3,"MEDIUM",N493&gt;4,"HIGH")</f>
        <v>MEDIUM</v>
      </c>
      <c r="P493">
        <v>0</v>
      </c>
      <c r="Q493">
        <v>0</v>
      </c>
      <c r="R493">
        <v>95</v>
      </c>
    </row>
    <row r="494" spans="1:18" x14ac:dyDescent="0.3">
      <c r="A494">
        <v>493</v>
      </c>
      <c r="B494" t="s">
        <v>696</v>
      </c>
      <c r="C494" t="s">
        <v>697</v>
      </c>
      <c r="D494" t="str">
        <f>_xlfn.CONCAT(EmpTable[[#This Row],[First Name]],EmpTable[[#This Row],[Last Name]])</f>
        <v>AbdalezizEiwad</v>
      </c>
      <c r="E494" t="s">
        <v>32</v>
      </c>
      <c r="F494" s="1">
        <v>43974</v>
      </c>
      <c r="G494" s="2">
        <f ca="1">DATEDIF(EmpTable[[#This Row],[Start Date]],TODAY(),"Y")</f>
        <v>5</v>
      </c>
      <c r="H494" s="2" t="str" cm="1">
        <f t="array" aca="1" ref="H494" ca="1">_xlfn.IFS(G494&lt;=1,"Fresh",G494&lt;=3,"Junior",G494&lt;=7,"Teamlead",G494&gt;=7,"manger")</f>
        <v>Teamlead</v>
      </c>
      <c r="I494" t="s">
        <v>77</v>
      </c>
      <c r="J494" t="s">
        <v>29</v>
      </c>
      <c r="K494" t="s">
        <v>898</v>
      </c>
      <c r="L494">
        <v>1714</v>
      </c>
      <c r="M494">
        <v>20568</v>
      </c>
      <c r="N494">
        <v>5</v>
      </c>
      <c r="O494" t="str" cm="1">
        <f t="array" ref="O494">_xlfn.IFS(EmpTable[[#This Row],[Job Rate]] &lt;=1,"LOW",N494&lt;=2,"LOW",N494&lt;=3,"MEDIUM",N494&gt;4,"HIGH")</f>
        <v>HIGH</v>
      </c>
      <c r="P494">
        <v>6</v>
      </c>
      <c r="Q494">
        <v>0</v>
      </c>
      <c r="R494">
        <v>11</v>
      </c>
    </row>
    <row r="495" spans="1:18" x14ac:dyDescent="0.3">
      <c r="A495">
        <v>494</v>
      </c>
      <c r="B495" t="s">
        <v>302</v>
      </c>
      <c r="C495" t="s">
        <v>698</v>
      </c>
      <c r="D495" t="str">
        <f>_xlfn.CONCAT(EmpTable[[#This Row],[First Name]],EmpTable[[#This Row],[Last Name]])</f>
        <v>AmirAlkhawam</v>
      </c>
      <c r="E495" t="s">
        <v>32</v>
      </c>
      <c r="F495" s="1">
        <v>43038</v>
      </c>
      <c r="G495" s="2">
        <f ca="1">DATEDIF(EmpTable[[#This Row],[Start Date]],TODAY(),"Y")</f>
        <v>8</v>
      </c>
      <c r="H495" s="2" t="str" cm="1">
        <f t="array" aca="1" ref="H495" ca="1">_xlfn.IFS(G495&lt;=1,"Fresh",G495&lt;=3,"Junior",G495&lt;=7,"Teamlead",G495&gt;=7,"manger")</f>
        <v>manger</v>
      </c>
      <c r="I495" t="s">
        <v>93</v>
      </c>
      <c r="J495" t="s">
        <v>29</v>
      </c>
      <c r="K495" t="s">
        <v>19</v>
      </c>
      <c r="L495">
        <v>2994</v>
      </c>
      <c r="M495">
        <v>35928</v>
      </c>
      <c r="N495">
        <v>4.5</v>
      </c>
      <c r="O495" t="str" cm="1">
        <f t="array" ref="O495">_xlfn.IFS(EmpTable[[#This Row],[Job Rate]] &lt;=1,"LOW",N495&lt;=2,"LOW",N495&lt;=3,"MEDIUM",N495&gt;4,"HIGH")</f>
        <v>HIGH</v>
      </c>
      <c r="P495">
        <v>1</v>
      </c>
      <c r="Q495">
        <v>0</v>
      </c>
      <c r="R495">
        <v>4</v>
      </c>
    </row>
    <row r="496" spans="1:18" x14ac:dyDescent="0.3">
      <c r="A496">
        <v>495</v>
      </c>
      <c r="B496" t="s">
        <v>699</v>
      </c>
      <c r="C496" t="s">
        <v>700</v>
      </c>
      <c r="D496" t="str">
        <f>_xlfn.CONCAT(EmpTable[[#This Row],[First Name]],EmpTable[[#This Row],[Last Name]])</f>
        <v>AliaMaseud</v>
      </c>
      <c r="E496" t="s">
        <v>32</v>
      </c>
      <c r="F496" s="1">
        <v>43838</v>
      </c>
      <c r="G496" s="2">
        <f ca="1">DATEDIF(EmpTable[[#This Row],[Start Date]],TODAY(),"Y")</f>
        <v>6</v>
      </c>
      <c r="H496" s="2" t="str" cm="1">
        <f t="array" aca="1" ref="H496" ca="1">_xlfn.IFS(G496&lt;=1,"Fresh",G496&lt;=3,"Junior",G496&lt;=7,"Teamlead",G496&gt;=7,"manger")</f>
        <v>Teamlead</v>
      </c>
      <c r="I496" t="s">
        <v>28</v>
      </c>
      <c r="J496" t="s">
        <v>22</v>
      </c>
      <c r="K496" t="s">
        <v>898</v>
      </c>
      <c r="L496">
        <v>2125</v>
      </c>
      <c r="M496">
        <v>25500</v>
      </c>
      <c r="N496">
        <v>4.5</v>
      </c>
      <c r="O496" t="str" cm="1">
        <f t="array" ref="O496">_xlfn.IFS(EmpTable[[#This Row],[Job Rate]] &lt;=1,"LOW",N496&lt;=2,"LOW",N496&lt;=3,"MEDIUM",N496&gt;4,"HIGH")</f>
        <v>HIGH</v>
      </c>
      <c r="P496">
        <v>6</v>
      </c>
      <c r="Q496">
        <v>0</v>
      </c>
      <c r="R496">
        <v>6</v>
      </c>
    </row>
    <row r="497" spans="1:18" x14ac:dyDescent="0.3">
      <c r="A497">
        <v>496</v>
      </c>
      <c r="B497" t="s">
        <v>647</v>
      </c>
      <c r="C497" t="s">
        <v>701</v>
      </c>
      <c r="D497" t="str">
        <f>_xlfn.CONCAT(EmpTable[[#This Row],[First Name]],EmpTable[[#This Row],[Last Name]])</f>
        <v>AsraAbuhani</v>
      </c>
      <c r="E497" t="s">
        <v>307</v>
      </c>
      <c r="F497" s="1">
        <v>43493</v>
      </c>
      <c r="G497" s="2">
        <f ca="1">DATEDIF(EmpTable[[#This Row],[Start Date]],TODAY(),"Y")</f>
        <v>7</v>
      </c>
      <c r="H497" s="2" t="str" cm="1">
        <f t="array" aca="1" ref="H497" ca="1">_xlfn.IFS(G497&lt;=1,"Fresh",G497&lt;=3,"Junior",G497&lt;=7,"Teamlead",G497&gt;=7,"manger")</f>
        <v>Teamlead</v>
      </c>
      <c r="I497" t="s">
        <v>77</v>
      </c>
      <c r="J497" t="s">
        <v>18</v>
      </c>
      <c r="K497" t="s">
        <v>42</v>
      </c>
      <c r="L497">
        <v>3059</v>
      </c>
      <c r="M497">
        <v>36708</v>
      </c>
      <c r="N497">
        <v>4.5</v>
      </c>
      <c r="O497" t="str" cm="1">
        <f t="array" ref="O497">_xlfn.IFS(EmpTable[[#This Row],[Job Rate]] &lt;=1,"LOW",N497&lt;=2,"LOW",N497&lt;=3,"MEDIUM",N497&gt;4,"HIGH")</f>
        <v>HIGH</v>
      </c>
      <c r="P497">
        <v>5</v>
      </c>
      <c r="Q497">
        <v>0</v>
      </c>
      <c r="R497">
        <v>9</v>
      </c>
    </row>
    <row r="498" spans="1:18" x14ac:dyDescent="0.3">
      <c r="A498">
        <v>497</v>
      </c>
      <c r="B498" t="s">
        <v>30</v>
      </c>
      <c r="C498" t="s">
        <v>702</v>
      </c>
      <c r="D498" t="str">
        <f>_xlfn.CONCAT(EmpTable[[#This Row],[First Name]],EmpTable[[#This Row],[Last Name]])</f>
        <v>AhmadAlshamy</v>
      </c>
      <c r="E498" t="s">
        <v>32</v>
      </c>
      <c r="F498" s="1">
        <v>43482</v>
      </c>
      <c r="G498" s="2">
        <f ca="1">DATEDIF(EmpTable[[#This Row],[Start Date]],TODAY(),"Y")</f>
        <v>7</v>
      </c>
      <c r="H498" s="2" t="str" cm="1">
        <f t="array" aca="1" ref="H498" ca="1">_xlfn.IFS(G498&lt;=1,"Fresh",G498&lt;=3,"Junior",G498&lt;=7,"Teamlead",G498&gt;=7,"manger")</f>
        <v>Teamlead</v>
      </c>
      <c r="I498" t="s">
        <v>41</v>
      </c>
      <c r="J498" t="s">
        <v>29</v>
      </c>
      <c r="K498" t="s">
        <v>42</v>
      </c>
      <c r="L498">
        <v>2077</v>
      </c>
      <c r="M498">
        <v>24924</v>
      </c>
      <c r="N498">
        <v>5</v>
      </c>
      <c r="O498" t="str" cm="1">
        <f t="array" ref="O498">_xlfn.IFS(EmpTable[[#This Row],[Job Rate]] &lt;=1,"LOW",N498&lt;=2,"LOW",N498&lt;=3,"MEDIUM",N498&gt;4,"HIGH")</f>
        <v>HIGH</v>
      </c>
      <c r="P498">
        <v>6</v>
      </c>
      <c r="Q498">
        <v>0</v>
      </c>
      <c r="R498">
        <v>4</v>
      </c>
    </row>
    <row r="499" spans="1:18" x14ac:dyDescent="0.3">
      <c r="A499">
        <v>498</v>
      </c>
      <c r="B499" t="s">
        <v>703</v>
      </c>
      <c r="C499" t="s">
        <v>704</v>
      </c>
      <c r="D499" t="str">
        <f>_xlfn.CONCAT(EmpTable[[#This Row],[First Name]],EmpTable[[#This Row],[Last Name]])</f>
        <v>BahaEusqul</v>
      </c>
      <c r="E499" t="s">
        <v>32</v>
      </c>
      <c r="F499" s="1">
        <v>43351</v>
      </c>
      <c r="G499" s="2">
        <f ca="1">DATEDIF(EmpTable[[#This Row],[Start Date]],TODAY(),"Y")</f>
        <v>7</v>
      </c>
      <c r="H499" s="2" t="str" cm="1">
        <f t="array" aca="1" ref="H499" ca="1">_xlfn.IFS(G499&lt;=1,"Fresh",G499&lt;=3,"Junior",G499&lt;=7,"Teamlead",G499&gt;=7,"manger")</f>
        <v>Teamlead</v>
      </c>
      <c r="I499" t="s">
        <v>28</v>
      </c>
      <c r="J499" t="s">
        <v>18</v>
      </c>
      <c r="K499" t="s">
        <v>19</v>
      </c>
      <c r="L499">
        <v>1962</v>
      </c>
      <c r="M499">
        <v>23544</v>
      </c>
      <c r="N499">
        <v>4.5</v>
      </c>
      <c r="O499" t="str" cm="1">
        <f t="array" ref="O499">_xlfn.IFS(EmpTable[[#This Row],[Job Rate]] &lt;=1,"LOW",N499&lt;=2,"LOW",N499&lt;=3,"MEDIUM",N499&gt;4,"HIGH")</f>
        <v>HIGH</v>
      </c>
      <c r="P499">
        <v>6</v>
      </c>
      <c r="Q499">
        <v>0</v>
      </c>
      <c r="R499">
        <v>10</v>
      </c>
    </row>
    <row r="500" spans="1:18" x14ac:dyDescent="0.3">
      <c r="A500">
        <v>499</v>
      </c>
      <c r="B500" t="s">
        <v>33</v>
      </c>
      <c r="C500" t="s">
        <v>705</v>
      </c>
      <c r="D500" t="str">
        <f>_xlfn.CONCAT(EmpTable[[#This Row],[First Name]],EmpTable[[#This Row],[Last Name]])</f>
        <v>MuhamadHylmyh</v>
      </c>
      <c r="E500" t="s">
        <v>32</v>
      </c>
      <c r="F500" s="1">
        <v>43600</v>
      </c>
      <c r="G500" s="2">
        <f ca="1">DATEDIF(EmpTable[[#This Row],[Start Date]],TODAY(),"Y")</f>
        <v>6</v>
      </c>
      <c r="H500" s="2" t="str" cm="1">
        <f t="array" aca="1" ref="H500" ca="1">_xlfn.IFS(G500&lt;=1,"Fresh",G500&lt;=3,"Junior",G500&lt;=7,"Teamlead",G500&gt;=7,"manger")</f>
        <v>Teamlead</v>
      </c>
      <c r="I500" t="s">
        <v>50</v>
      </c>
      <c r="J500" t="s">
        <v>18</v>
      </c>
      <c r="K500" t="s">
        <v>36</v>
      </c>
      <c r="L500">
        <v>1573</v>
      </c>
      <c r="M500">
        <v>18876</v>
      </c>
      <c r="N500">
        <v>3</v>
      </c>
      <c r="O500" t="str" cm="1">
        <f t="array" ref="O500">_xlfn.IFS(EmpTable[[#This Row],[Job Rate]] &lt;=1,"LOW",N500&lt;=2,"LOW",N500&lt;=3,"MEDIUM",N500&gt;4,"HIGH")</f>
        <v>MEDIUM</v>
      </c>
      <c r="P500">
        <v>6</v>
      </c>
      <c r="Q500">
        <v>0</v>
      </c>
      <c r="R500">
        <v>2</v>
      </c>
    </row>
    <row r="501" spans="1:18" x14ac:dyDescent="0.3">
      <c r="A501">
        <v>500</v>
      </c>
      <c r="B501" t="s">
        <v>433</v>
      </c>
      <c r="C501" t="s">
        <v>706</v>
      </c>
      <c r="D501" t="str">
        <f>_xlfn.CONCAT(EmpTable[[#This Row],[First Name]],EmpTable[[#This Row],[Last Name]])</f>
        <v>KhadijahTurkamani</v>
      </c>
      <c r="E501" t="s">
        <v>307</v>
      </c>
      <c r="F501" s="1">
        <v>43642</v>
      </c>
      <c r="G501" s="2">
        <f ca="1">DATEDIF(EmpTable[[#This Row],[Start Date]],TODAY(),"Y")</f>
        <v>6</v>
      </c>
      <c r="H501" s="2" t="str" cm="1">
        <f t="array" aca="1" ref="H501" ca="1">_xlfn.IFS(G501&lt;=1,"Fresh",G501&lt;=3,"Junior",G501&lt;=7,"Teamlead",G501&gt;=7,"manger")</f>
        <v>Teamlead</v>
      </c>
      <c r="I501" t="s">
        <v>41</v>
      </c>
      <c r="J501" t="s">
        <v>22</v>
      </c>
      <c r="K501" t="s">
        <v>36</v>
      </c>
      <c r="L501">
        <v>882</v>
      </c>
      <c r="M501">
        <v>10584</v>
      </c>
      <c r="N501">
        <v>5</v>
      </c>
      <c r="O501" t="str" cm="1">
        <f t="array" ref="O501">_xlfn.IFS(EmpTable[[#This Row],[Job Rate]] &lt;=1,"LOW",N501&lt;=2,"LOW",N501&lt;=3,"MEDIUM",N501&gt;4,"HIGH")</f>
        <v>HIGH</v>
      </c>
      <c r="P501">
        <v>0</v>
      </c>
      <c r="Q501">
        <v>0</v>
      </c>
      <c r="R501">
        <v>8</v>
      </c>
    </row>
    <row r="502" spans="1:18" x14ac:dyDescent="0.3">
      <c r="A502">
        <v>501</v>
      </c>
      <c r="B502" t="s">
        <v>647</v>
      </c>
      <c r="C502" t="s">
        <v>707</v>
      </c>
      <c r="D502" t="str">
        <f>_xlfn.CONCAT(EmpTable[[#This Row],[First Name]],EmpTable[[#This Row],[Last Name]])</f>
        <v>AsraJameah</v>
      </c>
      <c r="E502" t="s">
        <v>307</v>
      </c>
      <c r="F502" s="1">
        <v>43398</v>
      </c>
      <c r="G502" s="2">
        <f ca="1">DATEDIF(EmpTable[[#This Row],[Start Date]],TODAY(),"Y")</f>
        <v>7</v>
      </c>
      <c r="H502" s="2" t="str" cm="1">
        <f t="array" aca="1" ref="H502" ca="1">_xlfn.IFS(G502&lt;=1,"Fresh",G502&lt;=3,"Junior",G502&lt;=7,"Teamlead",G502&gt;=7,"manger")</f>
        <v>Teamlead</v>
      </c>
      <c r="I502" t="s">
        <v>28</v>
      </c>
      <c r="J502" t="s">
        <v>18</v>
      </c>
      <c r="K502" t="s">
        <v>19</v>
      </c>
      <c r="L502">
        <v>1036</v>
      </c>
      <c r="M502">
        <v>12432</v>
      </c>
      <c r="N502">
        <v>5</v>
      </c>
      <c r="O502" t="str" cm="1">
        <f t="array" ref="O502">_xlfn.IFS(EmpTable[[#This Row],[Job Rate]] &lt;=1,"LOW",N502&lt;=2,"LOW",N502&lt;=3,"MEDIUM",N502&gt;4,"HIGH")</f>
        <v>HIGH</v>
      </c>
      <c r="P502">
        <v>0</v>
      </c>
      <c r="Q502">
        <v>6</v>
      </c>
      <c r="R502">
        <v>2</v>
      </c>
    </row>
    <row r="503" spans="1:18" x14ac:dyDescent="0.3">
      <c r="A503">
        <v>502</v>
      </c>
      <c r="B503" t="s">
        <v>708</v>
      </c>
      <c r="C503" t="s">
        <v>709</v>
      </c>
      <c r="D503" t="str">
        <f>_xlfn.CONCAT(EmpTable[[#This Row],[First Name]],EmpTable[[#This Row],[Last Name]])</f>
        <v>AkramAlhulwanii</v>
      </c>
      <c r="E503" t="s">
        <v>32</v>
      </c>
      <c r="F503" s="1">
        <v>42381</v>
      </c>
      <c r="G503" s="2">
        <f ca="1">DATEDIF(EmpTable[[#This Row],[Start Date]],TODAY(),"Y")</f>
        <v>10</v>
      </c>
      <c r="H503" s="2" t="str" cm="1">
        <f t="array" aca="1" ref="H503" ca="1">_xlfn.IFS(G503&lt;=1,"Fresh",G503&lt;=3,"Junior",G503&lt;=7,"Teamlead",G503&gt;=7,"manger")</f>
        <v>manger</v>
      </c>
      <c r="I503" t="s">
        <v>50</v>
      </c>
      <c r="J503" t="s">
        <v>18</v>
      </c>
      <c r="K503" t="s">
        <v>898</v>
      </c>
      <c r="L503">
        <v>2790</v>
      </c>
      <c r="M503">
        <v>33480</v>
      </c>
      <c r="N503">
        <v>1</v>
      </c>
      <c r="O503" t="str" cm="1">
        <f t="array" ref="O503">_xlfn.IFS(EmpTable[[#This Row],[Job Rate]] &lt;=1,"LOW",N503&lt;=2,"LOW",N503&lt;=3,"MEDIUM",N503&gt;4,"HIGH")</f>
        <v>LOW</v>
      </c>
      <c r="P503">
        <v>1</v>
      </c>
      <c r="Q503">
        <v>0</v>
      </c>
      <c r="R503">
        <v>8</v>
      </c>
    </row>
    <row r="504" spans="1:18" x14ac:dyDescent="0.3">
      <c r="A504">
        <v>503</v>
      </c>
      <c r="B504" t="s">
        <v>69</v>
      </c>
      <c r="C504" t="s">
        <v>142</v>
      </c>
      <c r="D504" t="str">
        <f>_xlfn.CONCAT(EmpTable[[#This Row],[First Name]],EmpTable[[#This Row],[Last Name]])</f>
        <v>SamirAlmisri</v>
      </c>
      <c r="E504" t="s">
        <v>32</v>
      </c>
      <c r="F504" s="1">
        <v>43693</v>
      </c>
      <c r="G504" s="2">
        <f ca="1">DATEDIF(EmpTable[[#This Row],[Start Date]],TODAY(),"Y")</f>
        <v>6</v>
      </c>
      <c r="H504" s="2" t="str" cm="1">
        <f t="array" aca="1" ref="H504" ca="1">_xlfn.IFS(G504&lt;=1,"Fresh",G504&lt;=3,"Junior",G504&lt;=7,"Teamlead",G504&gt;=7,"manger")</f>
        <v>Teamlead</v>
      </c>
      <c r="I504" t="s">
        <v>28</v>
      </c>
      <c r="J504" t="s">
        <v>18</v>
      </c>
      <c r="K504" t="s">
        <v>42</v>
      </c>
      <c r="L504">
        <v>1951</v>
      </c>
      <c r="M504">
        <v>23412</v>
      </c>
      <c r="N504">
        <v>4.5</v>
      </c>
      <c r="O504" t="str" cm="1">
        <f t="array" ref="O504">_xlfn.IFS(EmpTable[[#This Row],[Job Rate]] &lt;=1,"LOW",N504&lt;=2,"LOW",N504&lt;=3,"MEDIUM",N504&gt;4,"HIGH")</f>
        <v>HIGH</v>
      </c>
      <c r="P504">
        <v>1</v>
      </c>
      <c r="Q504">
        <v>0</v>
      </c>
      <c r="R504">
        <v>8</v>
      </c>
    </row>
    <row r="505" spans="1:18" x14ac:dyDescent="0.3">
      <c r="A505">
        <v>504</v>
      </c>
      <c r="B505" t="s">
        <v>30</v>
      </c>
      <c r="C505" t="s">
        <v>393</v>
      </c>
      <c r="D505" t="str">
        <f>_xlfn.CONCAT(EmpTable[[#This Row],[First Name]],EmpTable[[#This Row],[Last Name]])</f>
        <v>AhmadIidris</v>
      </c>
      <c r="E505" t="s">
        <v>32</v>
      </c>
      <c r="F505" s="1">
        <v>43289</v>
      </c>
      <c r="G505" s="2">
        <f ca="1">DATEDIF(EmpTable[[#This Row],[Start Date]],TODAY(),"Y")</f>
        <v>7</v>
      </c>
      <c r="H505" s="2" t="str" cm="1">
        <f t="array" aca="1" ref="H505" ca="1">_xlfn.IFS(G505&lt;=1,"Fresh",G505&lt;=3,"Junior",G505&lt;=7,"Teamlead",G505&gt;=7,"manger")</f>
        <v>Teamlead</v>
      </c>
      <c r="I505" t="s">
        <v>17</v>
      </c>
      <c r="J505" t="s">
        <v>18</v>
      </c>
      <c r="K505" t="s">
        <v>42</v>
      </c>
      <c r="L505">
        <v>2255</v>
      </c>
      <c r="M505">
        <v>27060</v>
      </c>
      <c r="N505">
        <v>5</v>
      </c>
      <c r="O505" t="str" cm="1">
        <f t="array" ref="O505">_xlfn.IFS(EmpTable[[#This Row],[Job Rate]] &lt;=1,"LOW",N505&lt;=2,"LOW",N505&lt;=3,"MEDIUM",N505&gt;4,"HIGH")</f>
        <v>HIGH</v>
      </c>
      <c r="P505">
        <v>0</v>
      </c>
      <c r="Q505">
        <v>4</v>
      </c>
      <c r="R505">
        <v>10</v>
      </c>
    </row>
    <row r="506" spans="1:18" x14ac:dyDescent="0.3">
      <c r="A506">
        <v>505</v>
      </c>
      <c r="B506" t="s">
        <v>710</v>
      </c>
      <c r="C506" t="s">
        <v>711</v>
      </c>
      <c r="D506" t="str">
        <f>_xlfn.CONCAT(EmpTable[[#This Row],[First Name]],EmpTable[[#This Row],[Last Name]])</f>
        <v>KhawlaDawi</v>
      </c>
      <c r="E506" t="s">
        <v>307</v>
      </c>
      <c r="F506" s="1">
        <v>42903</v>
      </c>
      <c r="G506" s="2">
        <f ca="1">DATEDIF(EmpTable[[#This Row],[Start Date]],TODAY(),"Y")</f>
        <v>8</v>
      </c>
      <c r="H506" s="2" t="str" cm="1">
        <f t="array" aca="1" ref="H506" ca="1">_xlfn.IFS(G506&lt;=1,"Fresh",G506&lt;=3,"Junior",G506&lt;=7,"Teamlead",G506&gt;=7,"manger")</f>
        <v>manger</v>
      </c>
      <c r="I506" t="s">
        <v>118</v>
      </c>
      <c r="J506" t="s">
        <v>18</v>
      </c>
      <c r="K506" t="s">
        <v>898</v>
      </c>
      <c r="L506">
        <v>3388</v>
      </c>
      <c r="M506">
        <v>40656</v>
      </c>
      <c r="N506">
        <v>3</v>
      </c>
      <c r="O506" t="str" cm="1">
        <f t="array" ref="O506">_xlfn.IFS(EmpTable[[#This Row],[Job Rate]] &lt;=1,"LOW",N506&lt;=2,"LOW",N506&lt;=3,"MEDIUM",N506&gt;4,"HIGH")</f>
        <v>MEDIUM</v>
      </c>
      <c r="P506">
        <v>3</v>
      </c>
      <c r="Q506">
        <v>0</v>
      </c>
      <c r="R506">
        <v>0</v>
      </c>
    </row>
    <row r="507" spans="1:18" x14ac:dyDescent="0.3">
      <c r="A507">
        <v>506</v>
      </c>
      <c r="B507" t="s">
        <v>712</v>
      </c>
      <c r="C507" t="s">
        <v>713</v>
      </c>
      <c r="D507" t="str">
        <f>_xlfn.CONCAT(EmpTable[[#This Row],[First Name]],EmpTable[[#This Row],[Last Name]])</f>
        <v>RayidZazana</v>
      </c>
      <c r="E507" t="s">
        <v>32</v>
      </c>
      <c r="F507" s="1">
        <v>44123</v>
      </c>
      <c r="G507" s="2">
        <f ca="1">DATEDIF(EmpTable[[#This Row],[Start Date]],TODAY(),"Y")</f>
        <v>5</v>
      </c>
      <c r="H507" s="2" t="str" cm="1">
        <f t="array" aca="1" ref="H507" ca="1">_xlfn.IFS(G507&lt;=1,"Fresh",G507&lt;=3,"Junior",G507&lt;=7,"Teamlead",G507&gt;=7,"manger")</f>
        <v>Teamlead</v>
      </c>
      <c r="I507" t="s">
        <v>58</v>
      </c>
      <c r="J507" t="s">
        <v>18</v>
      </c>
      <c r="K507" t="s">
        <v>19</v>
      </c>
      <c r="L507">
        <v>707</v>
      </c>
      <c r="M507">
        <v>8484</v>
      </c>
      <c r="N507">
        <v>2</v>
      </c>
      <c r="O507" t="str" cm="1">
        <f t="array" ref="O507">_xlfn.IFS(EmpTable[[#This Row],[Job Rate]] &lt;=1,"LOW",N507&lt;=2,"LOW",N507&lt;=3,"MEDIUM",N507&gt;4,"HIGH")</f>
        <v>LOW</v>
      </c>
      <c r="P507">
        <v>1</v>
      </c>
      <c r="Q507">
        <v>0</v>
      </c>
      <c r="R507">
        <v>9</v>
      </c>
    </row>
    <row r="508" spans="1:18" x14ac:dyDescent="0.3">
      <c r="A508">
        <v>507</v>
      </c>
      <c r="B508" t="s">
        <v>192</v>
      </c>
      <c r="C508" t="s">
        <v>714</v>
      </c>
      <c r="D508" t="str">
        <f>_xlfn.CONCAT(EmpTable[[#This Row],[First Name]],EmpTable[[#This Row],[Last Name]])</f>
        <v>RazanIybw</v>
      </c>
      <c r="E508" t="s">
        <v>307</v>
      </c>
      <c r="F508" s="1">
        <v>43996</v>
      </c>
      <c r="G508" s="2">
        <f ca="1">DATEDIF(EmpTable[[#This Row],[Start Date]],TODAY(),"Y")</f>
        <v>5</v>
      </c>
      <c r="H508" s="2" t="str" cm="1">
        <f t="array" aca="1" ref="H508" ca="1">_xlfn.IFS(G508&lt;=1,"Fresh",G508&lt;=3,"Junior",G508&lt;=7,"Teamlead",G508&gt;=7,"manger")</f>
        <v>Teamlead</v>
      </c>
      <c r="I508" t="s">
        <v>93</v>
      </c>
      <c r="J508" t="s">
        <v>18</v>
      </c>
      <c r="K508" t="s">
        <v>42</v>
      </c>
      <c r="L508">
        <v>1161</v>
      </c>
      <c r="M508">
        <v>13932</v>
      </c>
      <c r="N508">
        <v>5</v>
      </c>
      <c r="O508" t="str" cm="1">
        <f t="array" ref="O508">_xlfn.IFS(EmpTable[[#This Row],[Job Rate]] &lt;=1,"LOW",N508&lt;=2,"LOW",N508&lt;=3,"MEDIUM",N508&gt;4,"HIGH")</f>
        <v>HIGH</v>
      </c>
      <c r="P508">
        <v>0</v>
      </c>
      <c r="Q508">
        <v>0</v>
      </c>
      <c r="R508">
        <v>9</v>
      </c>
    </row>
    <row r="509" spans="1:18" x14ac:dyDescent="0.3">
      <c r="A509">
        <v>508</v>
      </c>
      <c r="B509" t="s">
        <v>715</v>
      </c>
      <c r="C509" t="s">
        <v>716</v>
      </c>
      <c r="D509" t="str">
        <f>_xlfn.CONCAT(EmpTable[[#This Row],[First Name]],EmpTable[[#This Row],[Last Name]])</f>
        <v>JamilGhabur</v>
      </c>
      <c r="E509" t="s">
        <v>32</v>
      </c>
      <c r="F509" s="1">
        <v>43572</v>
      </c>
      <c r="G509" s="2">
        <f ca="1">DATEDIF(EmpTable[[#This Row],[Start Date]],TODAY(),"Y")</f>
        <v>6</v>
      </c>
      <c r="H509" s="2" t="str" cm="1">
        <f t="array" aca="1" ref="H509" ca="1">_xlfn.IFS(G509&lt;=1,"Fresh",G509&lt;=3,"Junior",G509&lt;=7,"Teamlead",G509&gt;=7,"manger")</f>
        <v>Teamlead</v>
      </c>
      <c r="I509" t="s">
        <v>17</v>
      </c>
      <c r="J509" t="s">
        <v>29</v>
      </c>
      <c r="K509" t="s">
        <v>42</v>
      </c>
      <c r="L509">
        <v>1165</v>
      </c>
      <c r="M509">
        <v>13980</v>
      </c>
      <c r="N509">
        <v>5</v>
      </c>
      <c r="O509" t="str" cm="1">
        <f t="array" ref="O509">_xlfn.IFS(EmpTable[[#This Row],[Job Rate]] &lt;=1,"LOW",N509&lt;=2,"LOW",N509&lt;=3,"MEDIUM",N509&gt;4,"HIGH")</f>
        <v>HIGH</v>
      </c>
      <c r="P509">
        <v>0</v>
      </c>
      <c r="Q509">
        <v>0</v>
      </c>
      <c r="R509">
        <v>9</v>
      </c>
    </row>
    <row r="510" spans="1:18" x14ac:dyDescent="0.3">
      <c r="A510">
        <v>509</v>
      </c>
      <c r="B510" t="s">
        <v>59</v>
      </c>
      <c r="C510" t="s">
        <v>599</v>
      </c>
      <c r="D510" t="str">
        <f>_xlfn.CONCAT(EmpTable[[#This Row],[First Name]],EmpTable[[#This Row],[Last Name]])</f>
        <v>AlaaSultan</v>
      </c>
      <c r="E510" t="s">
        <v>307</v>
      </c>
      <c r="F510" s="1">
        <v>43542</v>
      </c>
      <c r="G510" s="2">
        <f ca="1">DATEDIF(EmpTable[[#This Row],[Start Date]],TODAY(),"Y")</f>
        <v>7</v>
      </c>
      <c r="H510" s="2" t="str" cm="1">
        <f t="array" aca="1" ref="H510" ca="1">_xlfn.IFS(G510&lt;=1,"Fresh",G510&lt;=3,"Junior",G510&lt;=7,"Teamlead",G510&gt;=7,"manger")</f>
        <v>Teamlead</v>
      </c>
      <c r="I510" t="s">
        <v>50</v>
      </c>
      <c r="J510" t="s">
        <v>29</v>
      </c>
      <c r="K510" t="s">
        <v>42</v>
      </c>
      <c r="L510">
        <v>1351</v>
      </c>
      <c r="M510">
        <v>16212</v>
      </c>
      <c r="N510">
        <v>5</v>
      </c>
      <c r="O510" t="str" cm="1">
        <f t="array" ref="O510">_xlfn.IFS(EmpTable[[#This Row],[Job Rate]] &lt;=1,"LOW",N510&lt;=2,"LOW",N510&lt;=3,"MEDIUM",N510&gt;4,"HIGH")</f>
        <v>HIGH</v>
      </c>
      <c r="P510">
        <v>0</v>
      </c>
      <c r="Q510">
        <v>0</v>
      </c>
      <c r="R510">
        <v>7</v>
      </c>
    </row>
    <row r="511" spans="1:18" x14ac:dyDescent="0.3">
      <c r="A511">
        <v>510</v>
      </c>
      <c r="B511" t="s">
        <v>599</v>
      </c>
      <c r="C511" t="s">
        <v>717</v>
      </c>
      <c r="D511" t="str">
        <f>_xlfn.CONCAT(EmpTable[[#This Row],[First Name]],EmpTable[[#This Row],[Last Name]])</f>
        <v>SultanTaysir</v>
      </c>
      <c r="E511" t="s">
        <v>32</v>
      </c>
      <c r="F511" s="1">
        <v>42649</v>
      </c>
      <c r="G511" s="2">
        <f ca="1">DATEDIF(EmpTable[[#This Row],[Start Date]],TODAY(),"Y")</f>
        <v>9</v>
      </c>
      <c r="H511" s="2" t="str" cm="1">
        <f t="array" aca="1" ref="H511" ca="1">_xlfn.IFS(G511&lt;=1,"Fresh",G511&lt;=3,"Junior",G511&lt;=7,"Teamlead",G511&gt;=7,"manger")</f>
        <v>manger</v>
      </c>
      <c r="I511" t="s">
        <v>35</v>
      </c>
      <c r="J511" t="s">
        <v>18</v>
      </c>
      <c r="K511" t="s">
        <v>898</v>
      </c>
      <c r="L511">
        <v>1406</v>
      </c>
      <c r="M511">
        <v>16872</v>
      </c>
      <c r="N511">
        <v>3</v>
      </c>
      <c r="O511" t="str" cm="1">
        <f t="array" ref="O511">_xlfn.IFS(EmpTable[[#This Row],[Job Rate]] &lt;=1,"LOW",N511&lt;=2,"LOW",N511&lt;=3,"MEDIUM",N511&gt;4,"HIGH")</f>
        <v>MEDIUM</v>
      </c>
      <c r="P511">
        <v>0</v>
      </c>
      <c r="Q511">
        <v>3</v>
      </c>
      <c r="R511">
        <v>7</v>
      </c>
    </row>
    <row r="512" spans="1:18" x14ac:dyDescent="0.3">
      <c r="A512">
        <v>511</v>
      </c>
      <c r="B512" t="s">
        <v>718</v>
      </c>
      <c r="C512" t="s">
        <v>719</v>
      </c>
      <c r="D512" t="str">
        <f>_xlfn.CONCAT(EmpTable[[#This Row],[First Name]],EmpTable[[#This Row],[Last Name]])</f>
        <v>HananKurdiun</v>
      </c>
      <c r="E512" t="s">
        <v>307</v>
      </c>
      <c r="F512" s="1">
        <v>43473</v>
      </c>
      <c r="G512" s="2">
        <f ca="1">DATEDIF(EmpTable[[#This Row],[Start Date]],TODAY(),"Y")</f>
        <v>7</v>
      </c>
      <c r="H512" s="2" t="str" cm="1">
        <f t="array" aca="1" ref="H512" ca="1">_xlfn.IFS(G512&lt;=1,"Fresh",G512&lt;=3,"Junior",G512&lt;=7,"Teamlead",G512&gt;=7,"manger")</f>
        <v>Teamlead</v>
      </c>
      <c r="I512" t="s">
        <v>41</v>
      </c>
      <c r="J512" t="s">
        <v>22</v>
      </c>
      <c r="K512" t="s">
        <v>42</v>
      </c>
      <c r="L512">
        <v>1699</v>
      </c>
      <c r="M512">
        <v>20388</v>
      </c>
      <c r="N512">
        <v>5</v>
      </c>
      <c r="O512" t="str" cm="1">
        <f t="array" ref="O512">_xlfn.IFS(EmpTable[[#This Row],[Job Rate]] &lt;=1,"LOW",N512&lt;=2,"LOW",N512&lt;=3,"MEDIUM",N512&gt;4,"HIGH")</f>
        <v>HIGH</v>
      </c>
      <c r="P512">
        <v>0</v>
      </c>
      <c r="Q512">
        <v>2</v>
      </c>
      <c r="R512">
        <v>5</v>
      </c>
    </row>
    <row r="513" spans="1:18" x14ac:dyDescent="0.3">
      <c r="A513">
        <v>512</v>
      </c>
      <c r="B513" t="s">
        <v>388</v>
      </c>
      <c r="C513" t="s">
        <v>341</v>
      </c>
      <c r="D513" t="str">
        <f>_xlfn.CONCAT(EmpTable[[#This Row],[First Name]],EmpTable[[#This Row],[Last Name]])</f>
        <v>BasilSalih</v>
      </c>
      <c r="E513" t="s">
        <v>32</v>
      </c>
      <c r="F513" s="1">
        <v>43043</v>
      </c>
      <c r="G513" s="2">
        <f ca="1">DATEDIF(EmpTable[[#This Row],[Start Date]],TODAY(),"Y")</f>
        <v>8</v>
      </c>
      <c r="H513" s="2" t="str" cm="1">
        <f t="array" aca="1" ref="H513" ca="1">_xlfn.IFS(G513&lt;=1,"Fresh",G513&lt;=3,"Junior",G513&lt;=7,"Teamlead",G513&gt;=7,"manger")</f>
        <v>manger</v>
      </c>
      <c r="I513" t="s">
        <v>53</v>
      </c>
      <c r="J513" t="s">
        <v>18</v>
      </c>
      <c r="K513" t="s">
        <v>36</v>
      </c>
      <c r="L513">
        <v>3007</v>
      </c>
      <c r="M513">
        <v>36084</v>
      </c>
      <c r="N513">
        <v>5</v>
      </c>
      <c r="O513" t="str" cm="1">
        <f t="array" ref="O513">_xlfn.IFS(EmpTable[[#This Row],[Job Rate]] &lt;=1,"LOW",N513&lt;=2,"LOW",N513&lt;=3,"MEDIUM",N513&gt;4,"HIGH")</f>
        <v>HIGH</v>
      </c>
      <c r="P513">
        <v>0</v>
      </c>
      <c r="Q513">
        <v>6</v>
      </c>
      <c r="R513">
        <v>11</v>
      </c>
    </row>
    <row r="514" spans="1:18" x14ac:dyDescent="0.3">
      <c r="A514">
        <v>513</v>
      </c>
      <c r="B514" t="s">
        <v>720</v>
      </c>
      <c r="C514" t="s">
        <v>721</v>
      </c>
      <c r="D514" t="str">
        <f>_xlfn.CONCAT(EmpTable[[#This Row],[First Name]],EmpTable[[#This Row],[Last Name]])</f>
        <v>RitaDib</v>
      </c>
      <c r="E514" t="s">
        <v>307</v>
      </c>
      <c r="F514" s="1">
        <v>44008</v>
      </c>
      <c r="G514" s="2">
        <f ca="1">DATEDIF(EmpTable[[#This Row],[Start Date]],TODAY(),"Y")</f>
        <v>5</v>
      </c>
      <c r="H514" s="2" t="str" cm="1">
        <f t="array" aca="1" ref="H514" ca="1">_xlfn.IFS(G514&lt;=1,"Fresh",G514&lt;=3,"Junior",G514&lt;=7,"Teamlead",G514&gt;=7,"manger")</f>
        <v>Teamlead</v>
      </c>
      <c r="I514" t="s">
        <v>35</v>
      </c>
      <c r="J514" t="s">
        <v>18</v>
      </c>
      <c r="K514" t="s">
        <v>42</v>
      </c>
      <c r="L514">
        <v>879</v>
      </c>
      <c r="M514">
        <v>10548</v>
      </c>
      <c r="N514">
        <v>3</v>
      </c>
      <c r="O514" t="str" cm="1">
        <f t="array" ref="O514">_xlfn.IFS(EmpTable[[#This Row],[Job Rate]] &lt;=1,"LOW",N514&lt;=2,"LOW",N514&lt;=3,"MEDIUM",N514&gt;4,"HIGH")</f>
        <v>MEDIUM</v>
      </c>
      <c r="P514">
        <v>0</v>
      </c>
      <c r="Q514">
        <v>0</v>
      </c>
      <c r="R514">
        <v>1</v>
      </c>
    </row>
    <row r="515" spans="1:18" x14ac:dyDescent="0.3">
      <c r="A515">
        <v>514</v>
      </c>
      <c r="B515" t="s">
        <v>33</v>
      </c>
      <c r="C515" t="s">
        <v>722</v>
      </c>
      <c r="D515" t="str">
        <f>_xlfn.CONCAT(EmpTable[[#This Row],[First Name]],EmpTable[[#This Row],[Last Name]])</f>
        <v>MuhamadAlghush</v>
      </c>
      <c r="E515" t="s">
        <v>32</v>
      </c>
      <c r="F515" s="1">
        <v>43586</v>
      </c>
      <c r="G515" s="2">
        <f ca="1">DATEDIF(EmpTable[[#This Row],[Start Date]],TODAY(),"Y")</f>
        <v>6</v>
      </c>
      <c r="H515" s="2" t="str" cm="1">
        <f t="array" aca="1" ref="H515" ca="1">_xlfn.IFS(G515&lt;=1,"Fresh",G515&lt;=3,"Junior",G515&lt;=7,"Teamlead",G515&gt;=7,"manger")</f>
        <v>Teamlead</v>
      </c>
      <c r="I515" t="s">
        <v>77</v>
      </c>
      <c r="J515" t="s">
        <v>294</v>
      </c>
      <c r="K515" t="s">
        <v>36</v>
      </c>
      <c r="L515">
        <v>2537</v>
      </c>
      <c r="M515">
        <v>30444</v>
      </c>
      <c r="N515">
        <v>2</v>
      </c>
      <c r="O515" t="str" cm="1">
        <f t="array" ref="O515">_xlfn.IFS(EmpTable[[#This Row],[Job Rate]] &lt;=1,"LOW",N515&lt;=2,"LOW",N515&lt;=3,"MEDIUM",N515&gt;4,"HIGH")</f>
        <v>LOW</v>
      </c>
      <c r="P515">
        <v>0</v>
      </c>
      <c r="Q515">
        <v>0</v>
      </c>
      <c r="R515">
        <v>3</v>
      </c>
    </row>
    <row r="516" spans="1:18" x14ac:dyDescent="0.3">
      <c r="A516">
        <v>515</v>
      </c>
      <c r="B516" t="s">
        <v>33</v>
      </c>
      <c r="C516" t="s">
        <v>370</v>
      </c>
      <c r="D516" t="str">
        <f>_xlfn.CONCAT(EmpTable[[#This Row],[First Name]],EmpTable[[#This Row],[Last Name]])</f>
        <v>MuhamadIismaeil</v>
      </c>
      <c r="E516" t="s">
        <v>32</v>
      </c>
      <c r="F516" s="1">
        <v>44150</v>
      </c>
      <c r="G516" s="2">
        <f ca="1">DATEDIF(EmpTable[[#This Row],[Start Date]],TODAY(),"Y")</f>
        <v>5</v>
      </c>
      <c r="H516" s="2" t="str" cm="1">
        <f t="array" aca="1" ref="H516" ca="1">_xlfn.IFS(G516&lt;=1,"Fresh",G516&lt;=3,"Junior",G516&lt;=7,"Teamlead",G516&gt;=7,"manger")</f>
        <v>Teamlead</v>
      </c>
      <c r="I516" t="s">
        <v>41</v>
      </c>
      <c r="J516" t="s">
        <v>18</v>
      </c>
      <c r="K516" t="s">
        <v>36</v>
      </c>
      <c r="L516">
        <v>2663</v>
      </c>
      <c r="M516">
        <v>31956</v>
      </c>
      <c r="N516">
        <v>3</v>
      </c>
      <c r="O516" t="str" cm="1">
        <f t="array" ref="O516">_xlfn.IFS(EmpTable[[#This Row],[Job Rate]] &lt;=1,"LOW",N516&lt;=2,"LOW",N516&lt;=3,"MEDIUM",N516&gt;4,"HIGH")</f>
        <v>MEDIUM</v>
      </c>
      <c r="P516">
        <v>0</v>
      </c>
      <c r="Q516">
        <v>0</v>
      </c>
      <c r="R516">
        <v>2</v>
      </c>
    </row>
    <row r="517" spans="1:18" x14ac:dyDescent="0.3">
      <c r="A517">
        <v>516</v>
      </c>
      <c r="B517" t="s">
        <v>398</v>
      </c>
      <c r="C517" t="s">
        <v>313</v>
      </c>
      <c r="D517" t="str">
        <f>_xlfn.CONCAT(EmpTable[[#This Row],[First Name]],EmpTable[[#This Row],[Last Name]])</f>
        <v>KhaldunAlsaedi</v>
      </c>
      <c r="E517" t="s">
        <v>32</v>
      </c>
      <c r="F517" s="1">
        <v>44119</v>
      </c>
      <c r="G517" s="2">
        <f ca="1">DATEDIF(EmpTable[[#This Row],[Start Date]],TODAY(),"Y")</f>
        <v>5</v>
      </c>
      <c r="H517" s="2" t="str" cm="1">
        <f t="array" aca="1" ref="H517" ca="1">_xlfn.IFS(G517&lt;=1,"Fresh",G517&lt;=3,"Junior",G517&lt;=7,"Teamlead",G517&gt;=7,"manger")</f>
        <v>Teamlead</v>
      </c>
      <c r="I517" t="s">
        <v>17</v>
      </c>
      <c r="J517" t="s">
        <v>18</v>
      </c>
      <c r="K517" t="s">
        <v>42</v>
      </c>
      <c r="L517">
        <v>2494</v>
      </c>
      <c r="M517">
        <v>29928</v>
      </c>
      <c r="N517">
        <v>4.5</v>
      </c>
      <c r="O517" t="str" cm="1">
        <f t="array" ref="O517">_xlfn.IFS(EmpTable[[#This Row],[Job Rate]] &lt;=1,"LOW",N517&lt;=2,"LOW",N517&lt;=3,"MEDIUM",N517&gt;4,"HIGH")</f>
        <v>HIGH</v>
      </c>
      <c r="P517">
        <v>2</v>
      </c>
      <c r="Q517">
        <v>0</v>
      </c>
      <c r="R517">
        <v>2</v>
      </c>
    </row>
    <row r="518" spans="1:18" x14ac:dyDescent="0.3">
      <c r="A518">
        <v>517</v>
      </c>
      <c r="B518" t="s">
        <v>723</v>
      </c>
      <c r="C518" t="s">
        <v>724</v>
      </c>
      <c r="D518" t="str">
        <f>_xlfn.CONCAT(EmpTable[[#This Row],[First Name]],EmpTable[[#This Row],[Last Name]])</f>
        <v>GhaliahEibad</v>
      </c>
      <c r="E518" t="s">
        <v>307</v>
      </c>
      <c r="F518" s="1">
        <v>43775</v>
      </c>
      <c r="G518" s="2">
        <f ca="1">DATEDIF(EmpTable[[#This Row],[Start Date]],TODAY(),"Y")</f>
        <v>6</v>
      </c>
      <c r="H518" s="2" t="str" cm="1">
        <f t="array" aca="1" ref="H518" ca="1">_xlfn.IFS(G518&lt;=1,"Fresh",G518&lt;=3,"Junior",G518&lt;=7,"Teamlead",G518&gt;=7,"manger")</f>
        <v>Teamlead</v>
      </c>
      <c r="I518" t="s">
        <v>163</v>
      </c>
      <c r="J518" t="s">
        <v>29</v>
      </c>
      <c r="K518" t="s">
        <v>36</v>
      </c>
      <c r="L518">
        <v>2585</v>
      </c>
      <c r="M518">
        <v>31020</v>
      </c>
      <c r="N518">
        <v>5</v>
      </c>
      <c r="O518" t="str" cm="1">
        <f t="array" ref="O518">_xlfn.IFS(EmpTable[[#This Row],[Job Rate]] &lt;=1,"LOW",N518&lt;=2,"LOW",N518&lt;=3,"MEDIUM",N518&gt;4,"HIGH")</f>
        <v>HIGH</v>
      </c>
      <c r="P518">
        <v>1</v>
      </c>
      <c r="Q518">
        <v>5</v>
      </c>
      <c r="R518">
        <v>7</v>
      </c>
    </row>
    <row r="519" spans="1:18" x14ac:dyDescent="0.3">
      <c r="A519">
        <v>518</v>
      </c>
      <c r="B519" t="s">
        <v>33</v>
      </c>
      <c r="C519" t="s">
        <v>313</v>
      </c>
      <c r="D519" t="str">
        <f>_xlfn.CONCAT(EmpTable[[#This Row],[First Name]],EmpTable[[#This Row],[Last Name]])</f>
        <v>MuhamadAlsaedi</v>
      </c>
      <c r="E519" t="s">
        <v>32</v>
      </c>
      <c r="F519" s="1">
        <v>43809</v>
      </c>
      <c r="G519" s="2">
        <f ca="1">DATEDIF(EmpTable[[#This Row],[Start Date]],TODAY(),"Y")</f>
        <v>6</v>
      </c>
      <c r="H519" s="2" t="str" cm="1">
        <f t="array" aca="1" ref="H519" ca="1">_xlfn.IFS(G519&lt;=1,"Fresh",G519&lt;=3,"Junior",G519&lt;=7,"Teamlead",G519&gt;=7,"manger")</f>
        <v>Teamlead</v>
      </c>
      <c r="I519" t="s">
        <v>45</v>
      </c>
      <c r="J519" t="s">
        <v>29</v>
      </c>
      <c r="K519" t="s">
        <v>42</v>
      </c>
      <c r="L519">
        <v>1776</v>
      </c>
      <c r="M519">
        <v>21312</v>
      </c>
      <c r="N519">
        <v>2</v>
      </c>
      <c r="O519" t="str" cm="1">
        <f t="array" ref="O519">_xlfn.IFS(EmpTable[[#This Row],[Job Rate]] &lt;=1,"LOW",N519&lt;=2,"LOW",N519&lt;=3,"MEDIUM",N519&gt;4,"HIGH")</f>
        <v>LOW</v>
      </c>
      <c r="P519">
        <v>0</v>
      </c>
      <c r="Q519">
        <v>0</v>
      </c>
      <c r="R519">
        <v>0</v>
      </c>
    </row>
    <row r="520" spans="1:18" x14ac:dyDescent="0.3">
      <c r="A520">
        <v>519</v>
      </c>
      <c r="B520" t="s">
        <v>89</v>
      </c>
      <c r="C520" t="s">
        <v>725</v>
      </c>
      <c r="D520" t="str">
        <f>_xlfn.CONCAT(EmpTable[[#This Row],[First Name]],EmpTable[[#This Row],[Last Name]])</f>
        <v>EalaZaniqa</v>
      </c>
      <c r="E520" t="s">
        <v>307</v>
      </c>
      <c r="F520" s="1">
        <v>42993</v>
      </c>
      <c r="G520" s="2">
        <f ca="1">DATEDIF(EmpTable[[#This Row],[Start Date]],TODAY(),"Y")</f>
        <v>8</v>
      </c>
      <c r="H520" s="2" t="str" cm="1">
        <f t="array" aca="1" ref="H520" ca="1">_xlfn.IFS(G520&lt;=1,"Fresh",G520&lt;=3,"Junior",G520&lt;=7,"Teamlead",G520&gt;=7,"manger")</f>
        <v>manger</v>
      </c>
      <c r="I520" t="s">
        <v>53</v>
      </c>
      <c r="J520" t="s">
        <v>18</v>
      </c>
      <c r="K520" t="s">
        <v>36</v>
      </c>
      <c r="L520">
        <v>3055</v>
      </c>
      <c r="M520">
        <v>36660</v>
      </c>
      <c r="N520">
        <v>3</v>
      </c>
      <c r="O520" t="str" cm="1">
        <f t="array" ref="O520">_xlfn.IFS(EmpTable[[#This Row],[Job Rate]] &lt;=1,"LOW",N520&lt;=2,"LOW",N520&lt;=3,"MEDIUM",N520&gt;4,"HIGH")</f>
        <v>MEDIUM</v>
      </c>
      <c r="P520">
        <v>0</v>
      </c>
      <c r="Q520">
        <v>4</v>
      </c>
      <c r="R520">
        <v>9</v>
      </c>
    </row>
    <row r="521" spans="1:18" x14ac:dyDescent="0.3">
      <c r="A521">
        <v>520</v>
      </c>
      <c r="B521" t="s">
        <v>67</v>
      </c>
      <c r="C521" t="s">
        <v>726</v>
      </c>
      <c r="D521" t="str">
        <f>_xlfn.CONCAT(EmpTable[[#This Row],[First Name]],EmpTable[[#This Row],[Last Name]])</f>
        <v>AyhamSharfah</v>
      </c>
      <c r="E521" t="s">
        <v>32</v>
      </c>
      <c r="F521" s="1">
        <v>43113</v>
      </c>
      <c r="G521" s="2">
        <f ca="1">DATEDIF(EmpTable[[#This Row],[Start Date]],TODAY(),"Y")</f>
        <v>8</v>
      </c>
      <c r="H521" s="2" t="str" cm="1">
        <f t="array" aca="1" ref="H521" ca="1">_xlfn.IFS(G521&lt;=1,"Fresh",G521&lt;=3,"Junior",G521&lt;=7,"Teamlead",G521&gt;=7,"manger")</f>
        <v>manger</v>
      </c>
      <c r="I521" t="s">
        <v>28</v>
      </c>
      <c r="J521" t="s">
        <v>22</v>
      </c>
      <c r="K521" t="s">
        <v>42</v>
      </c>
      <c r="L521">
        <v>1707</v>
      </c>
      <c r="M521">
        <v>20484</v>
      </c>
      <c r="N521">
        <v>3</v>
      </c>
      <c r="O521" t="str" cm="1">
        <f t="array" ref="O521">_xlfn.IFS(EmpTable[[#This Row],[Job Rate]] &lt;=1,"LOW",N521&lt;=2,"LOW",N521&lt;=3,"MEDIUM",N521&gt;4,"HIGH")</f>
        <v>MEDIUM</v>
      </c>
      <c r="P521">
        <v>0</v>
      </c>
      <c r="Q521">
        <v>0</v>
      </c>
      <c r="R521">
        <v>4</v>
      </c>
    </row>
    <row r="522" spans="1:18" x14ac:dyDescent="0.3">
      <c r="A522">
        <v>521</v>
      </c>
      <c r="B522" t="s">
        <v>30</v>
      </c>
      <c r="C522" t="s">
        <v>727</v>
      </c>
      <c r="D522" t="str">
        <f>_xlfn.CONCAT(EmpTable[[#This Row],[First Name]],EmpTable[[#This Row],[Last Name]])</f>
        <v>AhmadKazeur</v>
      </c>
      <c r="E522" t="s">
        <v>32</v>
      </c>
      <c r="F522" s="1">
        <v>43643</v>
      </c>
      <c r="G522" s="2">
        <f ca="1">DATEDIF(EmpTable[[#This Row],[Start Date]],TODAY(),"Y")</f>
        <v>6</v>
      </c>
      <c r="H522" s="2" t="str" cm="1">
        <f t="array" aca="1" ref="H522" ca="1">_xlfn.IFS(G522&lt;=1,"Fresh",G522&lt;=3,"Junior",G522&lt;=7,"Teamlead",G522&gt;=7,"manger")</f>
        <v>Teamlead</v>
      </c>
      <c r="I522" t="s">
        <v>53</v>
      </c>
      <c r="J522" t="s">
        <v>29</v>
      </c>
      <c r="K522" t="s">
        <v>42</v>
      </c>
      <c r="L522">
        <v>2719</v>
      </c>
      <c r="M522">
        <v>32628</v>
      </c>
      <c r="N522">
        <v>3</v>
      </c>
      <c r="O522" t="str" cm="1">
        <f t="array" ref="O522">_xlfn.IFS(EmpTable[[#This Row],[Job Rate]] &lt;=1,"LOW",N522&lt;=2,"LOW",N522&lt;=3,"MEDIUM",N522&gt;4,"HIGH")</f>
        <v>MEDIUM</v>
      </c>
      <c r="P522">
        <v>0</v>
      </c>
      <c r="Q522">
        <v>0</v>
      </c>
      <c r="R522">
        <v>7</v>
      </c>
    </row>
    <row r="523" spans="1:18" x14ac:dyDescent="0.3">
      <c r="A523">
        <v>522</v>
      </c>
      <c r="B523" t="s">
        <v>728</v>
      </c>
      <c r="C523" t="s">
        <v>183</v>
      </c>
      <c r="D523" t="str">
        <f>_xlfn.CONCAT(EmpTable[[#This Row],[First Name]],EmpTable[[#This Row],[Last Name]])</f>
        <v>MujdiKiwan</v>
      </c>
      <c r="E523" t="s">
        <v>32</v>
      </c>
      <c r="F523" s="1">
        <v>44182</v>
      </c>
      <c r="G523" s="2">
        <f ca="1">DATEDIF(EmpTable[[#This Row],[Start Date]],TODAY(),"Y")</f>
        <v>5</v>
      </c>
      <c r="H523" s="2" t="str" cm="1">
        <f t="array" aca="1" ref="H523" ca="1">_xlfn.IFS(G523&lt;=1,"Fresh",G523&lt;=3,"Junior",G523&lt;=7,"Teamlead",G523&gt;=7,"manger")</f>
        <v>Teamlead</v>
      </c>
      <c r="I523" t="s">
        <v>58</v>
      </c>
      <c r="J523" t="s">
        <v>18</v>
      </c>
      <c r="K523" t="s">
        <v>60</v>
      </c>
      <c r="L523">
        <v>1715</v>
      </c>
      <c r="M523">
        <v>20580</v>
      </c>
      <c r="N523">
        <v>3</v>
      </c>
      <c r="O523" t="str" cm="1">
        <f t="array" ref="O523">_xlfn.IFS(EmpTable[[#This Row],[Job Rate]] &lt;=1,"LOW",N523&lt;=2,"LOW",N523&lt;=3,"MEDIUM",N523&gt;4,"HIGH")</f>
        <v>MEDIUM</v>
      </c>
      <c r="P523">
        <v>0</v>
      </c>
      <c r="Q523">
        <v>0</v>
      </c>
      <c r="R523">
        <v>10</v>
      </c>
    </row>
    <row r="524" spans="1:18" x14ac:dyDescent="0.3">
      <c r="A524">
        <v>523</v>
      </c>
      <c r="B524" t="s">
        <v>33</v>
      </c>
      <c r="C524" t="s">
        <v>729</v>
      </c>
      <c r="D524" t="str">
        <f>_xlfn.CONCAT(EmpTable[[#This Row],[First Name]],EmpTable[[#This Row],[Last Name]])</f>
        <v>MuhamadAltynawi</v>
      </c>
      <c r="E524" t="s">
        <v>32</v>
      </c>
      <c r="F524" s="1">
        <v>43487</v>
      </c>
      <c r="G524" s="2">
        <f ca="1">DATEDIF(EmpTable[[#This Row],[Start Date]],TODAY(),"Y")</f>
        <v>7</v>
      </c>
      <c r="H524" s="2" t="str" cm="1">
        <f t="array" aca="1" ref="H524" ca="1">_xlfn.IFS(G524&lt;=1,"Fresh",G524&lt;=3,"Junior",G524&lt;=7,"Teamlead",G524&gt;=7,"manger")</f>
        <v>Teamlead</v>
      </c>
      <c r="I524" t="s">
        <v>28</v>
      </c>
      <c r="J524" t="s">
        <v>18</v>
      </c>
      <c r="K524" t="s">
        <v>19</v>
      </c>
      <c r="L524">
        <v>2181</v>
      </c>
      <c r="M524">
        <v>26172</v>
      </c>
      <c r="N524">
        <v>2</v>
      </c>
      <c r="O524" t="str" cm="1">
        <f t="array" ref="O524">_xlfn.IFS(EmpTable[[#This Row],[Job Rate]] &lt;=1,"LOW",N524&lt;=2,"LOW",N524&lt;=3,"MEDIUM",N524&gt;4,"HIGH")</f>
        <v>LOW</v>
      </c>
      <c r="P524">
        <v>0</v>
      </c>
      <c r="Q524">
        <v>0</v>
      </c>
      <c r="R524">
        <v>1</v>
      </c>
    </row>
    <row r="525" spans="1:18" x14ac:dyDescent="0.3">
      <c r="A525">
        <v>524</v>
      </c>
      <c r="B525" t="s">
        <v>375</v>
      </c>
      <c r="C525" t="s">
        <v>575</v>
      </c>
      <c r="D525" t="str">
        <f>_xlfn.CONCAT(EmpTable[[#This Row],[First Name]],EmpTable[[#This Row],[Last Name]])</f>
        <v>LamaAlhasan</v>
      </c>
      <c r="E525" t="s">
        <v>307</v>
      </c>
      <c r="F525" s="1">
        <v>43086</v>
      </c>
      <c r="G525" s="2">
        <f ca="1">DATEDIF(EmpTable[[#This Row],[Start Date]],TODAY(),"Y")</f>
        <v>8</v>
      </c>
      <c r="H525" s="2" t="str" cm="1">
        <f t="array" aca="1" ref="H525" ca="1">_xlfn.IFS(G525&lt;=1,"Fresh",G525&lt;=3,"Junior",G525&lt;=7,"Teamlead",G525&gt;=7,"manger")</f>
        <v>manger</v>
      </c>
      <c r="I525" t="s">
        <v>28</v>
      </c>
      <c r="J525" t="s">
        <v>29</v>
      </c>
      <c r="K525" t="s">
        <v>36</v>
      </c>
      <c r="L525">
        <v>1382</v>
      </c>
      <c r="M525">
        <v>16584</v>
      </c>
      <c r="N525">
        <v>5</v>
      </c>
      <c r="O525" t="str" cm="1">
        <f t="array" ref="O525">_xlfn.IFS(EmpTable[[#This Row],[Job Rate]] &lt;=1,"LOW",N525&lt;=2,"LOW",N525&lt;=3,"MEDIUM",N525&gt;4,"HIGH")</f>
        <v>HIGH</v>
      </c>
      <c r="P525">
        <v>0</v>
      </c>
      <c r="Q525">
        <v>4</v>
      </c>
      <c r="R525">
        <v>8</v>
      </c>
    </row>
    <row r="526" spans="1:18" x14ac:dyDescent="0.3">
      <c r="A526">
        <v>525</v>
      </c>
      <c r="B526" t="s">
        <v>375</v>
      </c>
      <c r="C526" t="s">
        <v>142</v>
      </c>
      <c r="D526" t="str">
        <f>_xlfn.CONCAT(EmpTable[[#This Row],[First Name]],EmpTable[[#This Row],[Last Name]])</f>
        <v>LamaAlmisri</v>
      </c>
      <c r="E526" t="s">
        <v>307</v>
      </c>
      <c r="F526" s="1">
        <v>43957</v>
      </c>
      <c r="G526" s="2">
        <f ca="1">DATEDIF(EmpTable[[#This Row],[Start Date]],TODAY(),"Y")</f>
        <v>5</v>
      </c>
      <c r="H526" s="2" t="str" cm="1">
        <f t="array" aca="1" ref="H526" ca="1">_xlfn.IFS(G526&lt;=1,"Fresh",G526&lt;=3,"Junior",G526&lt;=7,"Teamlead",G526&gt;=7,"manger")</f>
        <v>Teamlead</v>
      </c>
      <c r="I526" t="s">
        <v>28</v>
      </c>
      <c r="J526" t="s">
        <v>18</v>
      </c>
      <c r="K526" t="s">
        <v>36</v>
      </c>
      <c r="L526">
        <v>3350</v>
      </c>
      <c r="M526">
        <v>40200</v>
      </c>
      <c r="N526">
        <v>2</v>
      </c>
      <c r="O526" t="str" cm="1">
        <f t="array" ref="O526">_xlfn.IFS(EmpTable[[#This Row],[Job Rate]] &lt;=1,"LOW",N526&lt;=2,"LOW",N526&lt;=3,"MEDIUM",N526&gt;4,"HIGH")</f>
        <v>LOW</v>
      </c>
      <c r="P526">
        <v>0</v>
      </c>
      <c r="Q526">
        <v>0</v>
      </c>
      <c r="R526">
        <v>8</v>
      </c>
    </row>
    <row r="527" spans="1:18" x14ac:dyDescent="0.3">
      <c r="A527">
        <v>526</v>
      </c>
      <c r="B527" t="s">
        <v>730</v>
      </c>
      <c r="C527" t="s">
        <v>731</v>
      </c>
      <c r="D527" t="str">
        <f>_xlfn.CONCAT(EmpTable[[#This Row],[First Name]],EmpTable[[#This Row],[Last Name]])</f>
        <v>ThayirHamuwda</v>
      </c>
      <c r="E527" t="s">
        <v>32</v>
      </c>
      <c r="F527" s="1">
        <v>43960</v>
      </c>
      <c r="G527" s="2">
        <f ca="1">DATEDIF(EmpTable[[#This Row],[Start Date]],TODAY(),"Y")</f>
        <v>5</v>
      </c>
      <c r="H527" s="2" t="str" cm="1">
        <f t="array" aca="1" ref="H527" ca="1">_xlfn.IFS(G527&lt;=1,"Fresh",G527&lt;=3,"Junior",G527&lt;=7,"Teamlead",G527&gt;=7,"manger")</f>
        <v>Teamlead</v>
      </c>
      <c r="I527" t="s">
        <v>53</v>
      </c>
      <c r="J527" t="s">
        <v>29</v>
      </c>
      <c r="K527" t="s">
        <v>898</v>
      </c>
      <c r="L527">
        <v>1710</v>
      </c>
      <c r="M527">
        <v>20520</v>
      </c>
      <c r="N527">
        <v>5</v>
      </c>
      <c r="O527" t="str" cm="1">
        <f t="array" ref="O527">_xlfn.IFS(EmpTable[[#This Row],[Job Rate]] &lt;=1,"LOW",N527&lt;=2,"LOW",N527&lt;=3,"MEDIUM",N527&gt;4,"HIGH")</f>
        <v>HIGH</v>
      </c>
      <c r="P527">
        <v>0</v>
      </c>
      <c r="Q527">
        <v>0</v>
      </c>
      <c r="R527">
        <v>9</v>
      </c>
    </row>
    <row r="528" spans="1:18" x14ac:dyDescent="0.3">
      <c r="A528">
        <v>527</v>
      </c>
      <c r="B528" t="s">
        <v>732</v>
      </c>
      <c r="C528" t="s">
        <v>733</v>
      </c>
      <c r="D528" t="str">
        <f>_xlfn.CONCAT(EmpTable[[#This Row],[First Name]],EmpTable[[#This Row],[Last Name]])</f>
        <v>AbdallahZakariaa</v>
      </c>
      <c r="E528" t="s">
        <v>32</v>
      </c>
      <c r="F528" s="1">
        <v>43593</v>
      </c>
      <c r="G528" s="2">
        <f ca="1">DATEDIF(EmpTable[[#This Row],[Start Date]],TODAY(),"Y")</f>
        <v>6</v>
      </c>
      <c r="H528" s="2" t="str" cm="1">
        <f t="array" aca="1" ref="H528" ca="1">_xlfn.IFS(G528&lt;=1,"Fresh",G528&lt;=3,"Junior",G528&lt;=7,"Teamlead",G528&gt;=7,"manger")</f>
        <v>Teamlead</v>
      </c>
      <c r="I528" t="s">
        <v>28</v>
      </c>
      <c r="J528" t="s">
        <v>29</v>
      </c>
      <c r="K528" t="s">
        <v>42</v>
      </c>
      <c r="L528">
        <v>2785</v>
      </c>
      <c r="M528">
        <v>33420</v>
      </c>
      <c r="N528">
        <v>1</v>
      </c>
      <c r="O528" t="str" cm="1">
        <f t="array" ref="O528">_xlfn.IFS(EmpTable[[#This Row],[Job Rate]] &lt;=1,"LOW",N528&lt;=2,"LOW",N528&lt;=3,"MEDIUM",N528&gt;4,"HIGH")</f>
        <v>LOW</v>
      </c>
      <c r="P528">
        <v>0</v>
      </c>
      <c r="Q528">
        <v>4</v>
      </c>
      <c r="R528">
        <v>3</v>
      </c>
    </row>
    <row r="529" spans="1:18" x14ac:dyDescent="0.3">
      <c r="A529">
        <v>528</v>
      </c>
      <c r="B529" t="s">
        <v>734</v>
      </c>
      <c r="C529" t="s">
        <v>575</v>
      </c>
      <c r="D529" t="str">
        <f>_xlfn.CONCAT(EmpTable[[#This Row],[First Name]],EmpTable[[#This Row],[Last Name]])</f>
        <v>IkhlasAlhasan</v>
      </c>
      <c r="E529" t="s">
        <v>307</v>
      </c>
      <c r="F529" s="1">
        <v>43784</v>
      </c>
      <c r="G529" s="2">
        <f ca="1">DATEDIF(EmpTable[[#This Row],[Start Date]],TODAY(),"Y")</f>
        <v>6</v>
      </c>
      <c r="H529" s="2" t="str" cm="1">
        <f t="array" aca="1" ref="H529" ca="1">_xlfn.IFS(G529&lt;=1,"Fresh",G529&lt;=3,"Junior",G529&lt;=7,"Teamlead",G529&gt;=7,"manger")</f>
        <v>Teamlead</v>
      </c>
      <c r="I529" t="s">
        <v>200</v>
      </c>
      <c r="J529" t="s">
        <v>29</v>
      </c>
      <c r="K529" t="s">
        <v>42</v>
      </c>
      <c r="L529">
        <v>2425</v>
      </c>
      <c r="M529">
        <v>29100</v>
      </c>
      <c r="N529">
        <v>4.5</v>
      </c>
      <c r="O529" t="str" cm="1">
        <f t="array" ref="O529">_xlfn.IFS(EmpTable[[#This Row],[Job Rate]] &lt;=1,"LOW",N529&lt;=2,"LOW",N529&lt;=3,"MEDIUM",N529&gt;4,"HIGH")</f>
        <v>HIGH</v>
      </c>
      <c r="P529">
        <v>0</v>
      </c>
      <c r="Q529">
        <v>0</v>
      </c>
      <c r="R529">
        <v>10</v>
      </c>
    </row>
    <row r="530" spans="1:18" x14ac:dyDescent="0.3">
      <c r="A530">
        <v>529</v>
      </c>
      <c r="B530" t="s">
        <v>33</v>
      </c>
      <c r="C530" t="s">
        <v>735</v>
      </c>
      <c r="D530" t="str">
        <f>_xlfn.CONCAT(EmpTable[[#This Row],[First Name]],EmpTable[[#This Row],[Last Name]])</f>
        <v>MuhamadJzayrly</v>
      </c>
      <c r="E530" t="s">
        <v>32</v>
      </c>
      <c r="F530" s="1">
        <v>43309</v>
      </c>
      <c r="G530" s="2">
        <f ca="1">DATEDIF(EmpTable[[#This Row],[Start Date]],TODAY(),"Y")</f>
        <v>7</v>
      </c>
      <c r="H530" s="2" t="str" cm="1">
        <f t="array" aca="1" ref="H530" ca="1">_xlfn.IFS(G530&lt;=1,"Fresh",G530&lt;=3,"Junior",G530&lt;=7,"Teamlead",G530&gt;=7,"manger")</f>
        <v>Teamlead</v>
      </c>
      <c r="I530" t="s">
        <v>58</v>
      </c>
      <c r="J530" t="s">
        <v>18</v>
      </c>
      <c r="K530" t="s">
        <v>60</v>
      </c>
      <c r="L530">
        <v>1117</v>
      </c>
      <c r="M530">
        <v>13404</v>
      </c>
      <c r="N530">
        <v>3</v>
      </c>
      <c r="O530" t="str" cm="1">
        <f t="array" ref="O530">_xlfn.IFS(EmpTable[[#This Row],[Job Rate]] &lt;=1,"LOW",N530&lt;=2,"LOW",N530&lt;=3,"MEDIUM",N530&gt;4,"HIGH")</f>
        <v>MEDIUM</v>
      </c>
      <c r="P530">
        <v>3</v>
      </c>
      <c r="Q530">
        <v>0</v>
      </c>
      <c r="R530">
        <v>8</v>
      </c>
    </row>
    <row r="531" spans="1:18" x14ac:dyDescent="0.3">
      <c r="A531">
        <v>530</v>
      </c>
      <c r="B531" t="s">
        <v>357</v>
      </c>
      <c r="C531" t="s">
        <v>736</v>
      </c>
      <c r="D531" t="str">
        <f>_xlfn.CONCAT(EmpTable[[#This Row],[First Name]],EmpTable[[#This Row],[Last Name]])</f>
        <v>HusamBadr</v>
      </c>
      <c r="E531" t="s">
        <v>32</v>
      </c>
      <c r="F531" s="1">
        <v>43582</v>
      </c>
      <c r="G531" s="2">
        <f ca="1">DATEDIF(EmpTable[[#This Row],[Start Date]],TODAY(),"Y")</f>
        <v>6</v>
      </c>
      <c r="H531" s="2" t="str" cm="1">
        <f t="array" aca="1" ref="H531" ca="1">_xlfn.IFS(G531&lt;=1,"Fresh",G531&lt;=3,"Junior",G531&lt;=7,"Teamlead",G531&gt;=7,"manger")</f>
        <v>Teamlead</v>
      </c>
      <c r="I531" t="s">
        <v>41</v>
      </c>
      <c r="J531" t="s">
        <v>18</v>
      </c>
      <c r="K531" t="s">
        <v>42</v>
      </c>
      <c r="L531">
        <v>1112</v>
      </c>
      <c r="M531">
        <v>13344</v>
      </c>
      <c r="N531">
        <v>5</v>
      </c>
      <c r="O531" t="str" cm="1">
        <f t="array" ref="O531">_xlfn.IFS(EmpTable[[#This Row],[Job Rate]] &lt;=1,"LOW",N531&lt;=2,"LOW",N531&lt;=3,"MEDIUM",N531&gt;4,"HIGH")</f>
        <v>HIGH</v>
      </c>
      <c r="P531">
        <v>1</v>
      </c>
      <c r="Q531">
        <v>6</v>
      </c>
      <c r="R531">
        <v>40</v>
      </c>
    </row>
    <row r="532" spans="1:18" x14ac:dyDescent="0.3">
      <c r="A532">
        <v>531</v>
      </c>
      <c r="B532" t="s">
        <v>86</v>
      </c>
      <c r="C532" t="s">
        <v>737</v>
      </c>
      <c r="D532" t="str">
        <f>_xlfn.CONCAT(EmpTable[[#This Row],[First Name]],EmpTable[[#This Row],[Last Name]])</f>
        <v>RamiHunun</v>
      </c>
      <c r="E532" t="s">
        <v>32</v>
      </c>
      <c r="F532" s="1">
        <v>43944</v>
      </c>
      <c r="G532" s="2">
        <f ca="1">DATEDIF(EmpTable[[#This Row],[Start Date]],TODAY(),"Y")</f>
        <v>5</v>
      </c>
      <c r="H532" s="2" t="str" cm="1">
        <f t="array" aca="1" ref="H532" ca="1">_xlfn.IFS(G532&lt;=1,"Fresh",G532&lt;=3,"Junior",G532&lt;=7,"Teamlead",G532&gt;=7,"manger")</f>
        <v>Teamlead</v>
      </c>
      <c r="I532" t="s">
        <v>58</v>
      </c>
      <c r="J532" t="s">
        <v>18</v>
      </c>
      <c r="K532" t="s">
        <v>19</v>
      </c>
      <c r="L532">
        <v>1928</v>
      </c>
      <c r="M532">
        <v>23136</v>
      </c>
      <c r="N532">
        <v>4.5</v>
      </c>
      <c r="O532" t="str" cm="1">
        <f t="array" ref="O532">_xlfn.IFS(EmpTable[[#This Row],[Job Rate]] &lt;=1,"LOW",N532&lt;=2,"LOW",N532&lt;=3,"MEDIUM",N532&gt;4,"HIGH")</f>
        <v>HIGH</v>
      </c>
      <c r="P532">
        <v>6</v>
      </c>
      <c r="Q532">
        <v>0</v>
      </c>
      <c r="R532">
        <v>1</v>
      </c>
    </row>
    <row r="533" spans="1:18" x14ac:dyDescent="0.3">
      <c r="A533">
        <v>532</v>
      </c>
      <c r="B533" t="s">
        <v>699</v>
      </c>
      <c r="C533" t="s">
        <v>80</v>
      </c>
      <c r="D533" t="str">
        <f>_xlfn.CONCAT(EmpTable[[#This Row],[First Name]],EmpTable[[#This Row],[Last Name]])</f>
        <v>AliaAbu</v>
      </c>
      <c r="E533" t="s">
        <v>307</v>
      </c>
      <c r="F533" s="1">
        <v>43410</v>
      </c>
      <c r="G533" s="2">
        <f ca="1">DATEDIF(EmpTable[[#This Row],[Start Date]],TODAY(),"Y")</f>
        <v>7</v>
      </c>
      <c r="H533" s="2" t="str" cm="1">
        <f t="array" aca="1" ref="H533" ca="1">_xlfn.IFS(G533&lt;=1,"Fresh",G533&lt;=3,"Junior",G533&lt;=7,"Teamlead",G533&gt;=7,"manger")</f>
        <v>Teamlead</v>
      </c>
      <c r="I533" t="s">
        <v>53</v>
      </c>
      <c r="J533" t="s">
        <v>22</v>
      </c>
      <c r="K533" t="s">
        <v>19</v>
      </c>
      <c r="L533">
        <v>3300</v>
      </c>
      <c r="M533">
        <v>39600</v>
      </c>
      <c r="N533">
        <v>5</v>
      </c>
      <c r="O533" t="str" cm="1">
        <f t="array" ref="O533">_xlfn.IFS(EmpTable[[#This Row],[Job Rate]] &lt;=1,"LOW",N533&lt;=2,"LOW",N533&lt;=3,"MEDIUM",N533&gt;4,"HIGH")</f>
        <v>HIGH</v>
      </c>
      <c r="P533">
        <v>0</v>
      </c>
      <c r="Q533">
        <v>0</v>
      </c>
      <c r="R533">
        <v>4</v>
      </c>
    </row>
    <row r="534" spans="1:18" x14ac:dyDescent="0.3">
      <c r="A534">
        <v>533</v>
      </c>
      <c r="B534" t="s">
        <v>69</v>
      </c>
      <c r="C534" t="s">
        <v>738</v>
      </c>
      <c r="D534" t="str">
        <f>_xlfn.CONCAT(EmpTable[[#This Row],[First Name]],EmpTable[[#This Row],[Last Name]])</f>
        <v>SamirSariji</v>
      </c>
      <c r="E534" t="s">
        <v>32</v>
      </c>
      <c r="F534" s="1">
        <v>44027</v>
      </c>
      <c r="G534" s="2">
        <f ca="1">DATEDIF(EmpTable[[#This Row],[Start Date]],TODAY(),"Y")</f>
        <v>5</v>
      </c>
      <c r="H534" s="2" t="str" cm="1">
        <f t="array" aca="1" ref="H534" ca="1">_xlfn.IFS(G534&lt;=1,"Fresh",G534&lt;=3,"Junior",G534&lt;=7,"Teamlead",G534&gt;=7,"manger")</f>
        <v>Teamlead</v>
      </c>
      <c r="I534" t="s">
        <v>58</v>
      </c>
      <c r="J534" t="s">
        <v>18</v>
      </c>
      <c r="K534" t="s">
        <v>36</v>
      </c>
      <c r="L534">
        <v>2378</v>
      </c>
      <c r="M534">
        <v>28536</v>
      </c>
      <c r="N534">
        <v>5</v>
      </c>
      <c r="O534" t="str" cm="1">
        <f t="array" ref="O534">_xlfn.IFS(EmpTable[[#This Row],[Job Rate]] &lt;=1,"LOW",N534&lt;=2,"LOW",N534&lt;=3,"MEDIUM",N534&gt;4,"HIGH")</f>
        <v>HIGH</v>
      </c>
      <c r="P534">
        <v>0</v>
      </c>
      <c r="Q534">
        <v>0</v>
      </c>
      <c r="R534">
        <v>5</v>
      </c>
    </row>
    <row r="535" spans="1:18" x14ac:dyDescent="0.3">
      <c r="A535">
        <v>534</v>
      </c>
      <c r="B535" t="s">
        <v>33</v>
      </c>
      <c r="C535" t="s">
        <v>739</v>
      </c>
      <c r="D535" t="str">
        <f>_xlfn.CONCAT(EmpTable[[#This Row],[First Name]],EmpTable[[#This Row],[Last Name]])</f>
        <v>MuhamadAlbieli</v>
      </c>
      <c r="E535" t="s">
        <v>32</v>
      </c>
      <c r="F535" s="1">
        <v>42547</v>
      </c>
      <c r="G535" s="2">
        <f ca="1">DATEDIF(EmpTable[[#This Row],[Start Date]],TODAY(),"Y")</f>
        <v>9</v>
      </c>
      <c r="H535" s="2" t="str" cm="1">
        <f t="array" aca="1" ref="H535" ca="1">_xlfn.IFS(G535&lt;=1,"Fresh",G535&lt;=3,"Junior",G535&lt;=7,"Teamlead",G535&gt;=7,"manger")</f>
        <v>manger</v>
      </c>
      <c r="I535" t="s">
        <v>17</v>
      </c>
      <c r="J535" t="s">
        <v>29</v>
      </c>
      <c r="K535" t="s">
        <v>42</v>
      </c>
      <c r="L535">
        <v>3138</v>
      </c>
      <c r="M535">
        <v>37656</v>
      </c>
      <c r="N535">
        <v>5</v>
      </c>
      <c r="O535" t="str" cm="1">
        <f t="array" ref="O535">_xlfn.IFS(EmpTable[[#This Row],[Job Rate]] &lt;=1,"LOW",N535&lt;=2,"LOW",N535&lt;=3,"MEDIUM",N535&gt;4,"HIGH")</f>
        <v>HIGH</v>
      </c>
      <c r="P535">
        <v>0</v>
      </c>
      <c r="Q535">
        <v>0</v>
      </c>
      <c r="R535">
        <v>10</v>
      </c>
    </row>
    <row r="536" spans="1:18" x14ac:dyDescent="0.3">
      <c r="A536">
        <v>535</v>
      </c>
      <c r="B536" t="s">
        <v>30</v>
      </c>
      <c r="C536" t="s">
        <v>740</v>
      </c>
      <c r="D536" t="str">
        <f>_xlfn.CONCAT(EmpTable[[#This Row],[First Name]],EmpTable[[#This Row],[Last Name]])</f>
        <v>AhmadEyd Bndqjy</v>
      </c>
      <c r="E536" t="s">
        <v>32</v>
      </c>
      <c r="F536" s="1">
        <v>42945</v>
      </c>
      <c r="G536" s="2">
        <f ca="1">DATEDIF(EmpTable[[#This Row],[Start Date]],TODAY(),"Y")</f>
        <v>8</v>
      </c>
      <c r="H536" s="2" t="str" cm="1">
        <f t="array" aca="1" ref="H536" ca="1">_xlfn.IFS(G536&lt;=1,"Fresh",G536&lt;=3,"Junior",G536&lt;=7,"Teamlead",G536&gt;=7,"manger")</f>
        <v>manger</v>
      </c>
      <c r="I536" t="s">
        <v>28</v>
      </c>
      <c r="J536" t="s">
        <v>29</v>
      </c>
      <c r="K536" t="s">
        <v>42</v>
      </c>
      <c r="L536">
        <v>1981</v>
      </c>
      <c r="M536">
        <v>23772</v>
      </c>
      <c r="N536">
        <v>5</v>
      </c>
      <c r="O536" t="str" cm="1">
        <f t="array" ref="O536">_xlfn.IFS(EmpTable[[#This Row],[Job Rate]] &lt;=1,"LOW",N536&lt;=2,"LOW",N536&lt;=3,"MEDIUM",N536&gt;4,"HIGH")</f>
        <v>HIGH</v>
      </c>
      <c r="P536">
        <v>1</v>
      </c>
      <c r="Q536">
        <v>0</v>
      </c>
      <c r="R536">
        <v>3</v>
      </c>
    </row>
    <row r="537" spans="1:18" x14ac:dyDescent="0.3">
      <c r="A537">
        <v>536</v>
      </c>
      <c r="B537" t="s">
        <v>563</v>
      </c>
      <c r="C537" t="s">
        <v>741</v>
      </c>
      <c r="D537" t="str">
        <f>_xlfn.CONCAT(EmpTable[[#This Row],[First Name]],EmpTable[[#This Row],[Last Name]])</f>
        <v>MariaLulu</v>
      </c>
      <c r="E537" t="s">
        <v>307</v>
      </c>
      <c r="F537" s="1">
        <v>43265</v>
      </c>
      <c r="G537" s="2">
        <f ca="1">DATEDIF(EmpTable[[#This Row],[Start Date]],TODAY(),"Y")</f>
        <v>7</v>
      </c>
      <c r="H537" s="2" t="str" cm="1">
        <f t="array" aca="1" ref="H537" ca="1">_xlfn.IFS(G537&lt;=1,"Fresh",G537&lt;=3,"Junior",G537&lt;=7,"Teamlead",G537&gt;=7,"manger")</f>
        <v>Teamlead</v>
      </c>
      <c r="I537" t="s">
        <v>28</v>
      </c>
      <c r="J537" t="s">
        <v>22</v>
      </c>
      <c r="K537" t="s">
        <v>36</v>
      </c>
      <c r="L537">
        <v>1056</v>
      </c>
      <c r="M537">
        <v>12672</v>
      </c>
      <c r="N537">
        <v>3</v>
      </c>
      <c r="O537" t="str" cm="1">
        <f t="array" ref="O537">_xlfn.IFS(EmpTable[[#This Row],[Job Rate]] &lt;=1,"LOW",N537&lt;=2,"LOW",N537&lt;=3,"MEDIUM",N537&gt;4,"HIGH")</f>
        <v>MEDIUM</v>
      </c>
      <c r="P537">
        <v>0</v>
      </c>
      <c r="Q537">
        <v>0</v>
      </c>
      <c r="R537">
        <v>94</v>
      </c>
    </row>
    <row r="538" spans="1:18" x14ac:dyDescent="0.3">
      <c r="A538">
        <v>537</v>
      </c>
      <c r="B538" t="s">
        <v>33</v>
      </c>
      <c r="C538" t="s">
        <v>742</v>
      </c>
      <c r="D538" t="str">
        <f>_xlfn.CONCAT(EmpTable[[#This Row],[First Name]],EmpTable[[#This Row],[Last Name]])</f>
        <v>MuhamadShhybr</v>
      </c>
      <c r="E538" t="s">
        <v>32</v>
      </c>
      <c r="F538" s="1">
        <v>43830</v>
      </c>
      <c r="G538" s="2">
        <f ca="1">DATEDIF(EmpTable[[#This Row],[Start Date]],TODAY(),"Y")</f>
        <v>6</v>
      </c>
      <c r="H538" s="2" t="str" cm="1">
        <f t="array" aca="1" ref="H538" ca="1">_xlfn.IFS(G538&lt;=1,"Fresh",G538&lt;=3,"Junior",G538&lt;=7,"Teamlead",G538&gt;=7,"manger")</f>
        <v>Teamlead</v>
      </c>
      <c r="I538" t="s">
        <v>53</v>
      </c>
      <c r="J538" t="s">
        <v>18</v>
      </c>
      <c r="K538" t="s">
        <v>898</v>
      </c>
      <c r="L538">
        <v>3295</v>
      </c>
      <c r="M538">
        <v>39540</v>
      </c>
      <c r="N538">
        <v>5</v>
      </c>
      <c r="O538" t="str" cm="1">
        <f t="array" ref="O538">_xlfn.IFS(EmpTable[[#This Row],[Job Rate]] &lt;=1,"LOW",N538&lt;=2,"LOW",N538&lt;=3,"MEDIUM",N538&gt;4,"HIGH")</f>
        <v>HIGH</v>
      </c>
      <c r="P538">
        <v>0</v>
      </c>
      <c r="Q538">
        <v>0</v>
      </c>
      <c r="R538">
        <v>2</v>
      </c>
    </row>
    <row r="539" spans="1:18" x14ac:dyDescent="0.3">
      <c r="A539">
        <v>538</v>
      </c>
      <c r="B539" t="s">
        <v>743</v>
      </c>
      <c r="C539" t="s">
        <v>744</v>
      </c>
      <c r="D539" t="str">
        <f>_xlfn.CONCAT(EmpTable[[#This Row],[First Name]],EmpTable[[#This Row],[Last Name]])</f>
        <v>AbdalbasitAljazayiriu</v>
      </c>
      <c r="E539" t="s">
        <v>32</v>
      </c>
      <c r="F539" s="1">
        <v>43746</v>
      </c>
      <c r="G539" s="2">
        <f ca="1">DATEDIF(EmpTable[[#This Row],[Start Date]],TODAY(),"Y")</f>
        <v>6</v>
      </c>
      <c r="H539" s="2" t="str" cm="1">
        <f t="array" aca="1" ref="H539" ca="1">_xlfn.IFS(G539&lt;=1,"Fresh",G539&lt;=3,"Junior",G539&lt;=7,"Teamlead",G539&gt;=7,"manger")</f>
        <v>Teamlead</v>
      </c>
      <c r="I539" t="s">
        <v>53</v>
      </c>
      <c r="J539" t="s">
        <v>18</v>
      </c>
      <c r="K539" t="s">
        <v>36</v>
      </c>
      <c r="L539">
        <v>1022</v>
      </c>
      <c r="M539">
        <v>12264</v>
      </c>
      <c r="N539">
        <v>4.5</v>
      </c>
      <c r="O539" t="str" cm="1">
        <f t="array" ref="O539">_xlfn.IFS(EmpTable[[#This Row],[Job Rate]] &lt;=1,"LOW",N539&lt;=2,"LOW",N539&lt;=3,"MEDIUM",N539&gt;4,"HIGH")</f>
        <v>HIGH</v>
      </c>
      <c r="P539">
        <v>1</v>
      </c>
      <c r="Q539">
        <v>0</v>
      </c>
      <c r="R539">
        <v>2</v>
      </c>
    </row>
    <row r="540" spans="1:18" x14ac:dyDescent="0.3">
      <c r="A540">
        <v>539</v>
      </c>
      <c r="B540" t="s">
        <v>71</v>
      </c>
      <c r="C540" t="s">
        <v>745</v>
      </c>
      <c r="D540" t="str">
        <f>_xlfn.CONCAT(EmpTable[[#This Row],[First Name]],EmpTable[[#This Row],[Last Name]])</f>
        <v>BilalAywbi</v>
      </c>
      <c r="E540" t="s">
        <v>32</v>
      </c>
      <c r="F540" s="1">
        <v>44125</v>
      </c>
      <c r="G540" s="2">
        <f ca="1">DATEDIF(EmpTable[[#This Row],[Start Date]],TODAY(),"Y")</f>
        <v>5</v>
      </c>
      <c r="H540" s="2" t="str" cm="1">
        <f t="array" aca="1" ref="H540" ca="1">_xlfn.IFS(G540&lt;=1,"Fresh",G540&lt;=3,"Junior",G540&lt;=7,"Teamlead",G540&gt;=7,"manger")</f>
        <v>Teamlead</v>
      </c>
      <c r="I540" t="s">
        <v>45</v>
      </c>
      <c r="J540" t="s">
        <v>29</v>
      </c>
      <c r="K540" t="s">
        <v>42</v>
      </c>
      <c r="L540">
        <v>969</v>
      </c>
      <c r="M540">
        <v>11628</v>
      </c>
      <c r="N540">
        <v>3</v>
      </c>
      <c r="O540" t="str" cm="1">
        <f t="array" ref="O540">_xlfn.IFS(EmpTable[[#This Row],[Job Rate]] &lt;=1,"LOW",N540&lt;=2,"LOW",N540&lt;=3,"MEDIUM",N540&gt;4,"HIGH")</f>
        <v>MEDIUM</v>
      </c>
      <c r="P540">
        <v>1</v>
      </c>
      <c r="Q540">
        <v>0</v>
      </c>
      <c r="R540">
        <v>0</v>
      </c>
    </row>
    <row r="541" spans="1:18" x14ac:dyDescent="0.3">
      <c r="A541">
        <v>540</v>
      </c>
      <c r="B541" t="s">
        <v>30</v>
      </c>
      <c r="C541" t="s">
        <v>746</v>
      </c>
      <c r="D541" t="str">
        <f>_xlfn.CONCAT(EmpTable[[#This Row],[First Name]],EmpTable[[#This Row],[Last Name]])</f>
        <v>AhmadDabana</v>
      </c>
      <c r="E541" t="s">
        <v>32</v>
      </c>
      <c r="F541" s="1">
        <v>43568</v>
      </c>
      <c r="G541" s="2">
        <f ca="1">DATEDIF(EmpTable[[#This Row],[Start Date]],TODAY(),"Y")</f>
        <v>6</v>
      </c>
      <c r="H541" s="2" t="str" cm="1">
        <f t="array" aca="1" ref="H541" ca="1">_xlfn.IFS(G541&lt;=1,"Fresh",G541&lt;=3,"Junior",G541&lt;=7,"Teamlead",G541&gt;=7,"manger")</f>
        <v>Teamlead</v>
      </c>
      <c r="I541" t="s">
        <v>93</v>
      </c>
      <c r="J541" t="s">
        <v>18</v>
      </c>
      <c r="K541" t="s">
        <v>36</v>
      </c>
      <c r="L541">
        <v>3354</v>
      </c>
      <c r="M541">
        <v>40248</v>
      </c>
      <c r="N541">
        <v>4.5</v>
      </c>
      <c r="O541" t="str" cm="1">
        <f t="array" ref="O541">_xlfn.IFS(EmpTable[[#This Row],[Job Rate]] &lt;=1,"LOW",N541&lt;=2,"LOW",N541&lt;=3,"MEDIUM",N541&gt;4,"HIGH")</f>
        <v>HIGH</v>
      </c>
      <c r="P541">
        <v>3</v>
      </c>
      <c r="Q541">
        <v>0</v>
      </c>
      <c r="R541">
        <v>1</v>
      </c>
    </row>
    <row r="542" spans="1:18" x14ac:dyDescent="0.3">
      <c r="A542">
        <v>541</v>
      </c>
      <c r="B542" t="s">
        <v>747</v>
      </c>
      <c r="C542" t="s">
        <v>288</v>
      </c>
      <c r="D542" t="str">
        <f>_xlfn.CONCAT(EmpTable[[#This Row],[First Name]],EmpTable[[#This Row],[Last Name]])</f>
        <v>FawazGhazal</v>
      </c>
      <c r="E542" t="s">
        <v>32</v>
      </c>
      <c r="F542" s="1">
        <v>43851</v>
      </c>
      <c r="G542" s="2">
        <f ca="1">DATEDIF(EmpTable[[#This Row],[Start Date]],TODAY(),"Y")</f>
        <v>6</v>
      </c>
      <c r="H542" s="2" t="str" cm="1">
        <f t="array" aca="1" ref="H542" ca="1">_xlfn.IFS(G542&lt;=1,"Fresh",G542&lt;=3,"Junior",G542&lt;=7,"Teamlead",G542&gt;=7,"manger")</f>
        <v>Teamlead</v>
      </c>
      <c r="I542" t="s">
        <v>17</v>
      </c>
      <c r="J542" t="s">
        <v>18</v>
      </c>
      <c r="K542" t="s">
        <v>36</v>
      </c>
      <c r="L542">
        <v>2123</v>
      </c>
      <c r="M542">
        <v>25476</v>
      </c>
      <c r="N542">
        <v>5</v>
      </c>
      <c r="O542" t="str" cm="1">
        <f t="array" ref="O542">_xlfn.IFS(EmpTable[[#This Row],[Job Rate]] &lt;=1,"LOW",N542&lt;=2,"LOW",N542&lt;=3,"MEDIUM",N542&gt;4,"HIGH")</f>
        <v>HIGH</v>
      </c>
      <c r="P542">
        <v>0</v>
      </c>
      <c r="Q542">
        <v>0</v>
      </c>
      <c r="R542">
        <v>15</v>
      </c>
    </row>
    <row r="543" spans="1:18" x14ac:dyDescent="0.3">
      <c r="A543">
        <v>542</v>
      </c>
      <c r="B543" t="s">
        <v>330</v>
      </c>
      <c r="C543" t="s">
        <v>576</v>
      </c>
      <c r="D543" t="str">
        <f>_xlfn.CONCAT(EmpTable[[#This Row],[First Name]],EmpTable[[#This Row],[Last Name]])</f>
        <v>BisamAltahhan</v>
      </c>
      <c r="E543" t="s">
        <v>307</v>
      </c>
      <c r="F543" s="1">
        <v>43728</v>
      </c>
      <c r="G543" s="2">
        <f ca="1">DATEDIF(EmpTable[[#This Row],[Start Date]],TODAY(),"Y")</f>
        <v>6</v>
      </c>
      <c r="H543" s="2" t="str" cm="1">
        <f t="array" aca="1" ref="H543" ca="1">_xlfn.IFS(G543&lt;=1,"Fresh",G543&lt;=3,"Junior",G543&lt;=7,"Teamlead",G543&gt;=7,"manger")</f>
        <v>Teamlead</v>
      </c>
      <c r="I543" t="s">
        <v>53</v>
      </c>
      <c r="J543" t="s">
        <v>18</v>
      </c>
      <c r="K543" t="s">
        <v>19</v>
      </c>
      <c r="L543">
        <v>897</v>
      </c>
      <c r="M543">
        <v>10764</v>
      </c>
      <c r="N543">
        <v>3</v>
      </c>
      <c r="O543" t="str" cm="1">
        <f t="array" ref="O543">_xlfn.IFS(EmpTable[[#This Row],[Job Rate]] &lt;=1,"LOW",N543&lt;=2,"LOW",N543&lt;=3,"MEDIUM",N543&gt;4,"HIGH")</f>
        <v>MEDIUM</v>
      </c>
      <c r="P543">
        <v>2</v>
      </c>
      <c r="Q543">
        <v>0</v>
      </c>
      <c r="R543">
        <v>11</v>
      </c>
    </row>
    <row r="544" spans="1:18" x14ac:dyDescent="0.3">
      <c r="A544">
        <v>543</v>
      </c>
      <c r="B544" t="s">
        <v>33</v>
      </c>
      <c r="C544" t="s">
        <v>302</v>
      </c>
      <c r="D544" t="str">
        <f>_xlfn.CONCAT(EmpTable[[#This Row],[First Name]],EmpTable[[#This Row],[Last Name]])</f>
        <v>MuhamadAmir</v>
      </c>
      <c r="E544" t="s">
        <v>32</v>
      </c>
      <c r="F544" s="1">
        <v>43207</v>
      </c>
      <c r="G544" s="2">
        <f ca="1">DATEDIF(EmpTable[[#This Row],[Start Date]],TODAY(),"Y")</f>
        <v>7</v>
      </c>
      <c r="H544" s="2" t="str" cm="1">
        <f t="array" aca="1" ref="H544" ca="1">_xlfn.IFS(G544&lt;=1,"Fresh",G544&lt;=3,"Junior",G544&lt;=7,"Teamlead",G544&gt;=7,"manger")</f>
        <v>Teamlead</v>
      </c>
      <c r="I544" t="s">
        <v>17</v>
      </c>
      <c r="J544" t="s">
        <v>22</v>
      </c>
      <c r="K544" t="s">
        <v>42</v>
      </c>
      <c r="L544">
        <v>2925</v>
      </c>
      <c r="M544">
        <v>35100</v>
      </c>
      <c r="N544">
        <v>3</v>
      </c>
      <c r="O544" t="str" cm="1">
        <f t="array" ref="O544">_xlfn.IFS(EmpTable[[#This Row],[Job Rate]] &lt;=1,"LOW",N544&lt;=2,"LOW",N544&lt;=3,"MEDIUM",N544&gt;4,"HIGH")</f>
        <v>MEDIUM</v>
      </c>
      <c r="P544">
        <v>3</v>
      </c>
      <c r="Q544">
        <v>0</v>
      </c>
      <c r="R544">
        <v>14</v>
      </c>
    </row>
    <row r="545" spans="1:18" x14ac:dyDescent="0.3">
      <c r="A545">
        <v>544</v>
      </c>
      <c r="B545" t="s">
        <v>303</v>
      </c>
      <c r="C545" t="s">
        <v>748</v>
      </c>
      <c r="D545" t="str">
        <f>_xlfn.CONCAT(EmpTable[[#This Row],[First Name]],EmpTable[[#This Row],[Last Name]])</f>
        <v>LilasNafae</v>
      </c>
      <c r="E545" t="s">
        <v>307</v>
      </c>
      <c r="F545" s="1">
        <v>43348</v>
      </c>
      <c r="G545" s="2">
        <f ca="1">DATEDIF(EmpTable[[#This Row],[Start Date]],TODAY(),"Y")</f>
        <v>7</v>
      </c>
      <c r="H545" s="2" t="str" cm="1">
        <f t="array" aca="1" ref="H545" ca="1">_xlfn.IFS(G545&lt;=1,"Fresh",G545&lt;=3,"Junior",G545&lt;=7,"Teamlead",G545&gt;=7,"manger")</f>
        <v>Teamlead</v>
      </c>
      <c r="I545" t="s">
        <v>17</v>
      </c>
      <c r="J545" t="s">
        <v>18</v>
      </c>
      <c r="K545" t="s">
        <v>42</v>
      </c>
      <c r="L545">
        <v>1895</v>
      </c>
      <c r="M545">
        <v>22740</v>
      </c>
      <c r="N545">
        <v>2</v>
      </c>
      <c r="O545" t="str" cm="1">
        <f t="array" ref="O545">_xlfn.IFS(EmpTable[[#This Row],[Job Rate]] &lt;=1,"LOW",N545&lt;=2,"LOW",N545&lt;=3,"MEDIUM",N545&gt;4,"HIGH")</f>
        <v>LOW</v>
      </c>
      <c r="P545">
        <v>0</v>
      </c>
      <c r="Q545">
        <v>5</v>
      </c>
      <c r="R545">
        <v>81</v>
      </c>
    </row>
    <row r="546" spans="1:18" x14ac:dyDescent="0.3">
      <c r="A546">
        <v>545</v>
      </c>
      <c r="B546" t="s">
        <v>33</v>
      </c>
      <c r="C546" t="s">
        <v>125</v>
      </c>
      <c r="D546" t="str">
        <f>_xlfn.CONCAT(EmpTable[[#This Row],[First Name]],EmpTable[[#This Row],[Last Name]])</f>
        <v>MuhamadAyman</v>
      </c>
      <c r="E546" t="s">
        <v>32</v>
      </c>
      <c r="F546" s="1">
        <v>42409</v>
      </c>
      <c r="G546" s="2">
        <f ca="1">DATEDIF(EmpTable[[#This Row],[Start Date]],TODAY(),"Y")</f>
        <v>10</v>
      </c>
      <c r="H546" s="2" t="str" cm="1">
        <f t="array" aca="1" ref="H546" ca="1">_xlfn.IFS(G546&lt;=1,"Fresh",G546&lt;=3,"Junior",G546&lt;=7,"Teamlead",G546&gt;=7,"manger")</f>
        <v>manger</v>
      </c>
      <c r="I546" t="s">
        <v>163</v>
      </c>
      <c r="J546" t="s">
        <v>18</v>
      </c>
      <c r="K546" t="s">
        <v>19</v>
      </c>
      <c r="L546">
        <v>2191</v>
      </c>
      <c r="M546">
        <v>26292</v>
      </c>
      <c r="N546">
        <v>5</v>
      </c>
      <c r="O546" t="str" cm="1">
        <f t="array" ref="O546">_xlfn.IFS(EmpTable[[#This Row],[Job Rate]] &lt;=1,"LOW",N546&lt;=2,"LOW",N546&lt;=3,"MEDIUM",N546&gt;4,"HIGH")</f>
        <v>HIGH</v>
      </c>
      <c r="P546">
        <v>2</v>
      </c>
      <c r="Q546">
        <v>0</v>
      </c>
      <c r="R546">
        <v>7</v>
      </c>
    </row>
    <row r="547" spans="1:18" x14ac:dyDescent="0.3">
      <c r="A547">
        <v>546</v>
      </c>
      <c r="B547" t="s">
        <v>749</v>
      </c>
      <c r="C547" t="s">
        <v>372</v>
      </c>
      <c r="D547" t="str">
        <f>_xlfn.CONCAT(EmpTable[[#This Row],[First Name]],EmpTable[[#This Row],[Last Name]])</f>
        <v>RanimEarabi</v>
      </c>
      <c r="E547" t="s">
        <v>307</v>
      </c>
      <c r="F547" s="1">
        <v>43890</v>
      </c>
      <c r="G547" s="2">
        <f ca="1">DATEDIF(EmpTable[[#This Row],[Start Date]],TODAY(),"Y")</f>
        <v>6</v>
      </c>
      <c r="H547" s="2" t="str" cm="1">
        <f t="array" aca="1" ref="H547" ca="1">_xlfn.IFS(G547&lt;=1,"Fresh",G547&lt;=3,"Junior",G547&lt;=7,"Teamlead",G547&gt;=7,"manger")</f>
        <v>Teamlead</v>
      </c>
      <c r="I547" t="s">
        <v>144</v>
      </c>
      <c r="J547" t="s">
        <v>18</v>
      </c>
      <c r="K547" t="s">
        <v>36</v>
      </c>
      <c r="L547">
        <v>3130</v>
      </c>
      <c r="M547">
        <v>37560</v>
      </c>
      <c r="N547">
        <v>3</v>
      </c>
      <c r="O547" t="str" cm="1">
        <f t="array" ref="O547">_xlfn.IFS(EmpTable[[#This Row],[Job Rate]] &lt;=1,"LOW",N547&lt;=2,"LOW",N547&lt;=3,"MEDIUM",N547&gt;4,"HIGH")</f>
        <v>MEDIUM</v>
      </c>
      <c r="P547">
        <v>0</v>
      </c>
      <c r="Q547">
        <v>0</v>
      </c>
      <c r="R547">
        <v>5</v>
      </c>
    </row>
    <row r="548" spans="1:18" x14ac:dyDescent="0.3">
      <c r="A548">
        <v>547</v>
      </c>
      <c r="B548" t="s">
        <v>750</v>
      </c>
      <c r="C548" t="s">
        <v>751</v>
      </c>
      <c r="D548" t="str">
        <f>_xlfn.CONCAT(EmpTable[[#This Row],[First Name]],EmpTable[[#This Row],[Last Name]])</f>
        <v>AmaniAltujjar</v>
      </c>
      <c r="E548" t="s">
        <v>307</v>
      </c>
      <c r="F548" s="1">
        <v>42695</v>
      </c>
      <c r="G548" s="2">
        <f ca="1">DATEDIF(EmpTable[[#This Row],[Start Date]],TODAY(),"Y")</f>
        <v>9</v>
      </c>
      <c r="H548" s="2" t="str" cm="1">
        <f t="array" aca="1" ref="H548" ca="1">_xlfn.IFS(G548&lt;=1,"Fresh",G548&lt;=3,"Junior",G548&lt;=7,"Teamlead",G548&gt;=7,"manger")</f>
        <v>manger</v>
      </c>
      <c r="I548" t="s">
        <v>35</v>
      </c>
      <c r="J548" t="s">
        <v>18</v>
      </c>
      <c r="K548" t="s">
        <v>19</v>
      </c>
      <c r="L548">
        <v>2654</v>
      </c>
      <c r="M548">
        <v>31848</v>
      </c>
      <c r="N548">
        <v>3</v>
      </c>
      <c r="O548" t="str" cm="1">
        <f t="array" ref="O548">_xlfn.IFS(EmpTable[[#This Row],[Job Rate]] &lt;=1,"LOW",N548&lt;=2,"LOW",N548&lt;=3,"MEDIUM",N548&gt;4,"HIGH")</f>
        <v>MEDIUM</v>
      </c>
      <c r="P548">
        <v>0</v>
      </c>
      <c r="Q548">
        <v>1</v>
      </c>
      <c r="R548">
        <v>7</v>
      </c>
    </row>
    <row r="549" spans="1:18" x14ac:dyDescent="0.3">
      <c r="A549">
        <v>548</v>
      </c>
      <c r="B549" t="s">
        <v>33</v>
      </c>
      <c r="C549" t="s">
        <v>752</v>
      </c>
      <c r="D549" t="str">
        <f>_xlfn.CONCAT(EmpTable[[#This Row],[First Name]],EmpTable[[#This Row],[Last Name]])</f>
        <v>MuhamadRashid</v>
      </c>
      <c r="E549" t="s">
        <v>32</v>
      </c>
      <c r="F549" s="1">
        <v>44192</v>
      </c>
      <c r="G549" s="2">
        <f ca="1">DATEDIF(EmpTable[[#This Row],[Start Date]],TODAY(),"Y")</f>
        <v>5</v>
      </c>
      <c r="H549" s="2" t="str" cm="1">
        <f t="array" aca="1" ref="H549" ca="1">_xlfn.IFS(G549&lt;=1,"Fresh",G549&lt;=3,"Junior",G549&lt;=7,"Teamlead",G549&gt;=7,"manger")</f>
        <v>Teamlead</v>
      </c>
      <c r="I549" t="s">
        <v>17</v>
      </c>
      <c r="J549" t="s">
        <v>22</v>
      </c>
      <c r="K549" t="s">
        <v>42</v>
      </c>
      <c r="L549">
        <v>859</v>
      </c>
      <c r="M549">
        <v>10308</v>
      </c>
      <c r="N549">
        <v>5</v>
      </c>
      <c r="O549" t="str" cm="1">
        <f t="array" ref="O549">_xlfn.IFS(EmpTable[[#This Row],[Job Rate]] &lt;=1,"LOW",N549&lt;=2,"LOW",N549&lt;=3,"MEDIUM",N549&gt;4,"HIGH")</f>
        <v>HIGH</v>
      </c>
      <c r="P549">
        <v>0</v>
      </c>
      <c r="Q549">
        <v>1</v>
      </c>
      <c r="R549">
        <v>5</v>
      </c>
    </row>
    <row r="550" spans="1:18" x14ac:dyDescent="0.3">
      <c r="A550">
        <v>549</v>
      </c>
      <c r="B550" t="s">
        <v>753</v>
      </c>
      <c r="C550" t="s">
        <v>754</v>
      </c>
      <c r="D550" t="str">
        <f>_xlfn.CONCAT(EmpTable[[#This Row],[First Name]],EmpTable[[#This Row],[Last Name]])</f>
        <v>AminHamid</v>
      </c>
      <c r="E550" t="s">
        <v>32</v>
      </c>
      <c r="F550" s="1">
        <v>42537</v>
      </c>
      <c r="G550" s="2">
        <f ca="1">DATEDIF(EmpTable[[#This Row],[Start Date]],TODAY(),"Y")</f>
        <v>9</v>
      </c>
      <c r="H550" s="2" t="str" cm="1">
        <f t="array" aca="1" ref="H550" ca="1">_xlfn.IFS(G550&lt;=1,"Fresh",G550&lt;=3,"Junior",G550&lt;=7,"Teamlead",G550&gt;=7,"manger")</f>
        <v>manger</v>
      </c>
      <c r="I550" t="s">
        <v>77</v>
      </c>
      <c r="J550" t="s">
        <v>18</v>
      </c>
      <c r="K550" t="s">
        <v>36</v>
      </c>
      <c r="L550">
        <v>1113</v>
      </c>
      <c r="M550">
        <v>13356</v>
      </c>
      <c r="N550">
        <v>3</v>
      </c>
      <c r="O550" t="str" cm="1">
        <f t="array" ref="O550">_xlfn.IFS(EmpTable[[#This Row],[Job Rate]] &lt;=1,"LOW",N550&lt;=2,"LOW",N550&lt;=3,"MEDIUM",N550&gt;4,"HIGH")</f>
        <v>MEDIUM</v>
      </c>
      <c r="P550">
        <v>4</v>
      </c>
      <c r="Q550">
        <v>0</v>
      </c>
      <c r="R550">
        <v>11</v>
      </c>
    </row>
    <row r="551" spans="1:18" x14ac:dyDescent="0.3">
      <c r="A551">
        <v>550</v>
      </c>
      <c r="B551" t="s">
        <v>165</v>
      </c>
      <c r="C551" t="s">
        <v>707</v>
      </c>
      <c r="D551" t="str">
        <f>_xlfn.CONCAT(EmpTable[[#This Row],[First Name]],EmpTable[[#This Row],[Last Name]])</f>
        <v>KhalidJameah</v>
      </c>
      <c r="E551" t="s">
        <v>32</v>
      </c>
      <c r="F551" s="1">
        <v>43725</v>
      </c>
      <c r="G551" s="2">
        <f ca="1">DATEDIF(EmpTable[[#This Row],[Start Date]],TODAY(),"Y")</f>
        <v>6</v>
      </c>
      <c r="H551" s="2" t="str" cm="1">
        <f t="array" aca="1" ref="H551" ca="1">_xlfn.IFS(G551&lt;=1,"Fresh",G551&lt;=3,"Junior",G551&lt;=7,"Teamlead",G551&gt;=7,"manger")</f>
        <v>Teamlead</v>
      </c>
      <c r="I551" t="s">
        <v>41</v>
      </c>
      <c r="J551" t="s">
        <v>18</v>
      </c>
      <c r="K551" t="s">
        <v>60</v>
      </c>
      <c r="L551">
        <v>1234</v>
      </c>
      <c r="M551">
        <v>14808</v>
      </c>
      <c r="N551">
        <v>5</v>
      </c>
      <c r="O551" t="str" cm="1">
        <f t="array" ref="O551">_xlfn.IFS(EmpTable[[#This Row],[Job Rate]] &lt;=1,"LOW",N551&lt;=2,"LOW",N551&lt;=3,"MEDIUM",N551&gt;4,"HIGH")</f>
        <v>HIGH</v>
      </c>
      <c r="P551">
        <v>1</v>
      </c>
      <c r="Q551">
        <v>5</v>
      </c>
      <c r="R551">
        <v>10</v>
      </c>
    </row>
    <row r="552" spans="1:18" x14ac:dyDescent="0.3">
      <c r="A552">
        <v>551</v>
      </c>
      <c r="B552" t="s">
        <v>622</v>
      </c>
      <c r="C552" t="s">
        <v>396</v>
      </c>
      <c r="D552" t="str">
        <f>_xlfn.CONCAT(EmpTable[[#This Row],[First Name]],EmpTable[[#This Row],[Last Name]])</f>
        <v>FahdShaykh</v>
      </c>
      <c r="E552" t="s">
        <v>32</v>
      </c>
      <c r="F552" s="1">
        <v>43815</v>
      </c>
      <c r="G552" s="2">
        <f ca="1">DATEDIF(EmpTable[[#This Row],[Start Date]],TODAY(),"Y")</f>
        <v>6</v>
      </c>
      <c r="H552" s="2" t="str" cm="1">
        <f t="array" aca="1" ref="H552" ca="1">_xlfn.IFS(G552&lt;=1,"Fresh",G552&lt;=3,"Junior",G552&lt;=7,"Teamlead",G552&gt;=7,"manger")</f>
        <v>Teamlead</v>
      </c>
      <c r="I552" t="s">
        <v>58</v>
      </c>
      <c r="J552" t="s">
        <v>18</v>
      </c>
      <c r="K552" t="s">
        <v>36</v>
      </c>
      <c r="L552">
        <v>2647</v>
      </c>
      <c r="M552">
        <v>31764</v>
      </c>
      <c r="N552">
        <v>3</v>
      </c>
      <c r="O552" t="str" cm="1">
        <f t="array" ref="O552">_xlfn.IFS(EmpTable[[#This Row],[Job Rate]] &lt;=1,"LOW",N552&lt;=2,"LOW",N552&lt;=3,"MEDIUM",N552&gt;4,"HIGH")</f>
        <v>MEDIUM</v>
      </c>
      <c r="P552">
        <v>4</v>
      </c>
      <c r="Q552">
        <v>0</v>
      </c>
      <c r="R552">
        <v>1</v>
      </c>
    </row>
    <row r="553" spans="1:18" x14ac:dyDescent="0.3">
      <c r="A553">
        <v>552</v>
      </c>
      <c r="B553" t="s">
        <v>303</v>
      </c>
      <c r="C553" t="s">
        <v>755</v>
      </c>
      <c r="D553" t="str">
        <f>_xlfn.CONCAT(EmpTable[[#This Row],[First Name]],EmpTable[[#This Row],[Last Name]])</f>
        <v>LilasKashik</v>
      </c>
      <c r="E553" t="s">
        <v>307</v>
      </c>
      <c r="F553" s="1">
        <v>42583</v>
      </c>
      <c r="G553" s="2">
        <f ca="1">DATEDIF(EmpTable[[#This Row],[Start Date]],TODAY(),"Y")</f>
        <v>9</v>
      </c>
      <c r="H553" s="2" t="str" cm="1">
        <f t="array" aca="1" ref="H553" ca="1">_xlfn.IFS(G553&lt;=1,"Fresh",G553&lt;=3,"Junior",G553&lt;=7,"Teamlead",G553&gt;=7,"manger")</f>
        <v>manger</v>
      </c>
      <c r="I553" t="s">
        <v>45</v>
      </c>
      <c r="J553" t="s">
        <v>22</v>
      </c>
      <c r="K553" t="s">
        <v>36</v>
      </c>
      <c r="L553">
        <v>2200</v>
      </c>
      <c r="M553">
        <v>26400</v>
      </c>
      <c r="N553">
        <v>1</v>
      </c>
      <c r="O553" t="str" cm="1">
        <f t="array" ref="O553">_xlfn.IFS(EmpTable[[#This Row],[Job Rate]] &lt;=1,"LOW",N553&lt;=2,"LOW",N553&lt;=3,"MEDIUM",N553&gt;4,"HIGH")</f>
        <v>LOW</v>
      </c>
      <c r="P553">
        <v>1</v>
      </c>
      <c r="Q553">
        <v>0</v>
      </c>
      <c r="R553">
        <v>6</v>
      </c>
    </row>
    <row r="554" spans="1:18" x14ac:dyDescent="0.3">
      <c r="A554">
        <v>553</v>
      </c>
      <c r="B554" t="s">
        <v>229</v>
      </c>
      <c r="C554" t="s">
        <v>369</v>
      </c>
      <c r="D554" t="str">
        <f>_xlfn.CONCAT(EmpTable[[#This Row],[First Name]],EmpTable[[#This Row],[Last Name]])</f>
        <v>FatimaHasan</v>
      </c>
      <c r="E554" t="s">
        <v>307</v>
      </c>
      <c r="F554" s="1">
        <v>43183</v>
      </c>
      <c r="G554" s="2">
        <f ca="1">DATEDIF(EmpTable[[#This Row],[Start Date]],TODAY(),"Y")</f>
        <v>8</v>
      </c>
      <c r="H554" s="2" t="str" cm="1">
        <f t="array" aca="1" ref="H554" ca="1">_xlfn.IFS(G554&lt;=1,"Fresh",G554&lt;=3,"Junior",G554&lt;=7,"Teamlead",G554&gt;=7,"manger")</f>
        <v>manger</v>
      </c>
      <c r="I554" t="s">
        <v>25</v>
      </c>
      <c r="J554" t="s">
        <v>18</v>
      </c>
      <c r="K554" t="s">
        <v>36</v>
      </c>
      <c r="L554">
        <v>2381</v>
      </c>
      <c r="M554">
        <v>28572</v>
      </c>
      <c r="N554">
        <v>4.5</v>
      </c>
      <c r="O554" t="str" cm="1">
        <f t="array" ref="O554">_xlfn.IFS(EmpTable[[#This Row],[Job Rate]] &lt;=1,"LOW",N554&lt;=2,"LOW",N554&lt;=3,"MEDIUM",N554&gt;4,"HIGH")</f>
        <v>HIGH</v>
      </c>
      <c r="P554">
        <v>2</v>
      </c>
      <c r="Q554">
        <v>0</v>
      </c>
      <c r="R554">
        <v>10</v>
      </c>
    </row>
    <row r="555" spans="1:18" x14ac:dyDescent="0.3">
      <c r="A555">
        <v>554</v>
      </c>
      <c r="B555" t="s">
        <v>327</v>
      </c>
      <c r="C555" t="s">
        <v>756</v>
      </c>
      <c r="D555" t="str">
        <f>_xlfn.CONCAT(EmpTable[[#This Row],[First Name]],EmpTable[[#This Row],[Last Name]])</f>
        <v>DieaDakhal</v>
      </c>
      <c r="E555" t="s">
        <v>32</v>
      </c>
      <c r="F555" s="1">
        <v>43817</v>
      </c>
      <c r="G555" s="2">
        <f ca="1">DATEDIF(EmpTable[[#This Row],[Start Date]],TODAY(),"Y")</f>
        <v>6</v>
      </c>
      <c r="H555" s="2" t="str" cm="1">
        <f t="array" aca="1" ref="H555" ca="1">_xlfn.IFS(G555&lt;=1,"Fresh",G555&lt;=3,"Junior",G555&lt;=7,"Teamlead",G555&gt;=7,"manger")</f>
        <v>Teamlead</v>
      </c>
      <c r="I555" t="s">
        <v>41</v>
      </c>
      <c r="J555" t="s">
        <v>29</v>
      </c>
      <c r="K555" t="s">
        <v>42</v>
      </c>
      <c r="L555">
        <v>2329</v>
      </c>
      <c r="M555">
        <v>27948</v>
      </c>
      <c r="N555">
        <v>2</v>
      </c>
      <c r="O555" t="str" cm="1">
        <f t="array" ref="O555">_xlfn.IFS(EmpTable[[#This Row],[Job Rate]] &lt;=1,"LOW",N555&lt;=2,"LOW",N555&lt;=3,"MEDIUM",N555&gt;4,"HIGH")</f>
        <v>LOW</v>
      </c>
      <c r="P555">
        <v>0</v>
      </c>
      <c r="Q555">
        <v>0</v>
      </c>
      <c r="R555">
        <v>5</v>
      </c>
    </row>
    <row r="556" spans="1:18" x14ac:dyDescent="0.3">
      <c r="A556">
        <v>555</v>
      </c>
      <c r="B556" t="s">
        <v>302</v>
      </c>
      <c r="C556" t="s">
        <v>757</v>
      </c>
      <c r="D556" t="str">
        <f>_xlfn.CONCAT(EmpTable[[#This Row],[First Name]],EmpTable[[#This Row],[Last Name]])</f>
        <v>AmirKarishati</v>
      </c>
      <c r="E556" t="s">
        <v>32</v>
      </c>
      <c r="F556" s="1">
        <v>43676</v>
      </c>
      <c r="G556" s="2">
        <f ca="1">DATEDIF(EmpTable[[#This Row],[Start Date]],TODAY(),"Y")</f>
        <v>6</v>
      </c>
      <c r="H556" s="2" t="str" cm="1">
        <f t="array" aca="1" ref="H556" ca="1">_xlfn.IFS(G556&lt;=1,"Fresh",G556&lt;=3,"Junior",G556&lt;=7,"Teamlead",G556&gt;=7,"manger")</f>
        <v>Teamlead</v>
      </c>
      <c r="I556" t="s">
        <v>28</v>
      </c>
      <c r="J556" t="s">
        <v>18</v>
      </c>
      <c r="K556" t="s">
        <v>42</v>
      </c>
      <c r="L556">
        <v>1075</v>
      </c>
      <c r="M556">
        <v>12900</v>
      </c>
      <c r="N556">
        <v>3</v>
      </c>
      <c r="O556" t="str" cm="1">
        <f t="array" ref="O556">_xlfn.IFS(EmpTable[[#This Row],[Job Rate]] &lt;=1,"LOW",N556&lt;=2,"LOW",N556&lt;=3,"MEDIUM",N556&gt;4,"HIGH")</f>
        <v>MEDIUM</v>
      </c>
      <c r="P556">
        <v>0</v>
      </c>
      <c r="Q556">
        <v>4</v>
      </c>
      <c r="R556">
        <v>61</v>
      </c>
    </row>
    <row r="557" spans="1:18" x14ac:dyDescent="0.3">
      <c r="A557">
        <v>556</v>
      </c>
      <c r="B557" t="s">
        <v>334</v>
      </c>
      <c r="C557" t="s">
        <v>758</v>
      </c>
      <c r="D557" t="str">
        <f>_xlfn.CONCAT(EmpTable[[#This Row],[First Name]],EmpTable[[#This Row],[Last Name]])</f>
        <v>MadlinAlsaed</v>
      </c>
      <c r="E557" t="s">
        <v>307</v>
      </c>
      <c r="F557" s="1">
        <v>43013</v>
      </c>
      <c r="G557" s="2">
        <f ca="1">DATEDIF(EmpTable[[#This Row],[Start Date]],TODAY(),"Y")</f>
        <v>8</v>
      </c>
      <c r="H557" s="2" t="str" cm="1">
        <f t="array" aca="1" ref="H557" ca="1">_xlfn.IFS(G557&lt;=1,"Fresh",G557&lt;=3,"Junior",G557&lt;=7,"Teamlead",G557&gt;=7,"manger")</f>
        <v>manger</v>
      </c>
      <c r="I557" t="s">
        <v>58</v>
      </c>
      <c r="J557" t="s">
        <v>18</v>
      </c>
      <c r="K557" t="s">
        <v>42</v>
      </c>
      <c r="L557">
        <v>3110</v>
      </c>
      <c r="M557">
        <v>37320</v>
      </c>
      <c r="N557">
        <v>1</v>
      </c>
      <c r="O557" t="str" cm="1">
        <f t="array" ref="O557">_xlfn.IFS(EmpTable[[#This Row],[Job Rate]] &lt;=1,"LOW",N557&lt;=2,"LOW",N557&lt;=3,"MEDIUM",N557&gt;4,"HIGH")</f>
        <v>LOW</v>
      </c>
      <c r="P557">
        <v>1</v>
      </c>
      <c r="Q557">
        <v>4</v>
      </c>
      <c r="R557">
        <v>1</v>
      </c>
    </row>
    <row r="558" spans="1:18" x14ac:dyDescent="0.3">
      <c r="A558">
        <v>557</v>
      </c>
      <c r="B558" t="s">
        <v>460</v>
      </c>
      <c r="C558" t="s">
        <v>759</v>
      </c>
      <c r="D558" t="str">
        <f>_xlfn.CONCAT(EmpTable[[#This Row],[First Name]],EmpTable[[#This Row],[Last Name]])</f>
        <v>AdnanAleaqla</v>
      </c>
      <c r="E558" t="s">
        <v>32</v>
      </c>
      <c r="F558" s="1">
        <v>42878</v>
      </c>
      <c r="G558" s="2">
        <f ca="1">DATEDIF(EmpTable[[#This Row],[Start Date]],TODAY(),"Y")</f>
        <v>8</v>
      </c>
      <c r="H558" s="2" t="str" cm="1">
        <f t="array" aca="1" ref="H558" ca="1">_xlfn.IFS(G558&lt;=1,"Fresh",G558&lt;=3,"Junior",G558&lt;=7,"Teamlead",G558&gt;=7,"manger")</f>
        <v>manger</v>
      </c>
      <c r="I558" t="s">
        <v>28</v>
      </c>
      <c r="J558" t="s">
        <v>18</v>
      </c>
      <c r="K558" t="s">
        <v>36</v>
      </c>
      <c r="L558">
        <v>2777</v>
      </c>
      <c r="M558">
        <v>33324</v>
      </c>
      <c r="N558">
        <v>5</v>
      </c>
      <c r="O558" t="str" cm="1">
        <f t="array" ref="O558">_xlfn.IFS(EmpTable[[#This Row],[Job Rate]] &lt;=1,"LOW",N558&lt;=2,"LOW",N558&lt;=3,"MEDIUM",N558&gt;4,"HIGH")</f>
        <v>HIGH</v>
      </c>
      <c r="P558">
        <v>0</v>
      </c>
      <c r="Q558">
        <v>0</v>
      </c>
      <c r="R558">
        <v>10</v>
      </c>
    </row>
    <row r="559" spans="1:18" x14ac:dyDescent="0.3">
      <c r="A559">
        <v>558</v>
      </c>
      <c r="B559" t="s">
        <v>33</v>
      </c>
      <c r="C559" t="s">
        <v>760</v>
      </c>
      <c r="D559" t="str">
        <f>_xlfn.CONCAT(EmpTable[[#This Row],[First Name]],EmpTable[[#This Row],[Last Name]])</f>
        <v>MuhamadEursaly</v>
      </c>
      <c r="E559" t="s">
        <v>32</v>
      </c>
      <c r="F559" s="1">
        <v>43525</v>
      </c>
      <c r="G559" s="2">
        <f ca="1">DATEDIF(EmpTable[[#This Row],[Start Date]],TODAY(),"Y")</f>
        <v>7</v>
      </c>
      <c r="H559" s="2" t="str" cm="1">
        <f t="array" aca="1" ref="H559" ca="1">_xlfn.IFS(G559&lt;=1,"Fresh",G559&lt;=3,"Junior",G559&lt;=7,"Teamlead",G559&gt;=7,"manger")</f>
        <v>Teamlead</v>
      </c>
      <c r="I559" t="s">
        <v>76</v>
      </c>
      <c r="J559" t="s">
        <v>18</v>
      </c>
      <c r="K559" t="s">
        <v>19</v>
      </c>
      <c r="L559">
        <v>2306</v>
      </c>
      <c r="M559">
        <v>27672</v>
      </c>
      <c r="N559">
        <v>2</v>
      </c>
      <c r="O559" t="str" cm="1">
        <f t="array" ref="O559">_xlfn.IFS(EmpTable[[#This Row],[Job Rate]] &lt;=1,"LOW",N559&lt;=2,"LOW",N559&lt;=3,"MEDIUM",N559&gt;4,"HIGH")</f>
        <v>LOW</v>
      </c>
      <c r="P559">
        <v>5</v>
      </c>
      <c r="Q559">
        <v>5</v>
      </c>
      <c r="R559">
        <v>11</v>
      </c>
    </row>
    <row r="560" spans="1:18" x14ac:dyDescent="0.3">
      <c r="A560">
        <v>559</v>
      </c>
      <c r="B560" t="s">
        <v>206</v>
      </c>
      <c r="C560" t="s">
        <v>761</v>
      </c>
      <c r="D560" t="str">
        <f>_xlfn.CONCAT(EmpTable[[#This Row],[First Name]],EmpTable[[#This Row],[Last Name]])</f>
        <v>RanyaAlaishhab</v>
      </c>
      <c r="E560" t="s">
        <v>307</v>
      </c>
      <c r="F560" s="1">
        <v>42722</v>
      </c>
      <c r="G560" s="2">
        <f ca="1">DATEDIF(EmpTable[[#This Row],[Start Date]],TODAY(),"Y")</f>
        <v>9</v>
      </c>
      <c r="H560" s="2" t="str" cm="1">
        <f t="array" aca="1" ref="H560" ca="1">_xlfn.IFS(G560&lt;=1,"Fresh",G560&lt;=3,"Junior",G560&lt;=7,"Teamlead",G560&gt;=7,"manger")</f>
        <v>manger</v>
      </c>
      <c r="I560" t="s">
        <v>77</v>
      </c>
      <c r="J560" t="s">
        <v>18</v>
      </c>
      <c r="K560" t="s">
        <v>42</v>
      </c>
      <c r="L560">
        <v>1213</v>
      </c>
      <c r="M560">
        <v>14556</v>
      </c>
      <c r="N560">
        <v>3</v>
      </c>
      <c r="O560" t="str" cm="1">
        <f t="array" ref="O560">_xlfn.IFS(EmpTable[[#This Row],[Job Rate]] &lt;=1,"LOW",N560&lt;=2,"LOW",N560&lt;=3,"MEDIUM",N560&gt;4,"HIGH")</f>
        <v>MEDIUM</v>
      </c>
      <c r="P560">
        <v>0</v>
      </c>
      <c r="Q560">
        <v>0</v>
      </c>
      <c r="R560">
        <v>10</v>
      </c>
    </row>
    <row r="561" spans="1:18" x14ac:dyDescent="0.3">
      <c r="A561">
        <v>560</v>
      </c>
      <c r="B561" t="s">
        <v>762</v>
      </c>
      <c r="C561" t="s">
        <v>763</v>
      </c>
      <c r="D561" t="str">
        <f>_xlfn.CONCAT(EmpTable[[#This Row],[First Name]],EmpTable[[#This Row],[Last Name]])</f>
        <v>RulaaShannar</v>
      </c>
      <c r="E561" t="s">
        <v>307</v>
      </c>
      <c r="F561" s="1">
        <v>43940</v>
      </c>
      <c r="G561" s="2">
        <f ca="1">DATEDIF(EmpTable[[#This Row],[Start Date]],TODAY(),"Y")</f>
        <v>5</v>
      </c>
      <c r="H561" s="2" t="str" cm="1">
        <f t="array" aca="1" ref="H561" ca="1">_xlfn.IFS(G561&lt;=1,"Fresh",G561&lt;=3,"Junior",G561&lt;=7,"Teamlead",G561&gt;=7,"manger")</f>
        <v>Teamlead</v>
      </c>
      <c r="I561" t="s">
        <v>77</v>
      </c>
      <c r="J561" t="s">
        <v>18</v>
      </c>
      <c r="K561" t="s">
        <v>60</v>
      </c>
      <c r="L561">
        <v>2680</v>
      </c>
      <c r="M561">
        <v>32160</v>
      </c>
      <c r="N561">
        <v>4.5</v>
      </c>
      <c r="O561" t="str" cm="1">
        <f t="array" ref="O561">_xlfn.IFS(EmpTable[[#This Row],[Job Rate]] &lt;=1,"LOW",N561&lt;=2,"LOW",N561&lt;=3,"MEDIUM",N561&gt;4,"HIGH")</f>
        <v>HIGH</v>
      </c>
      <c r="P561">
        <v>0</v>
      </c>
      <c r="Q561">
        <v>0</v>
      </c>
      <c r="R561">
        <v>1</v>
      </c>
    </row>
    <row r="562" spans="1:18" x14ac:dyDescent="0.3">
      <c r="A562">
        <v>561</v>
      </c>
      <c r="B562" t="s">
        <v>764</v>
      </c>
      <c r="C562" t="s">
        <v>765</v>
      </c>
      <c r="D562" t="str">
        <f>_xlfn.CONCAT(EmpTable[[#This Row],[First Name]],EmpTable[[#This Row],[Last Name]])</f>
        <v>AynasAlhiwat</v>
      </c>
      <c r="E562" t="s">
        <v>307</v>
      </c>
      <c r="F562" s="1">
        <v>44152</v>
      </c>
      <c r="G562" s="2">
        <f ca="1">DATEDIF(EmpTable[[#This Row],[Start Date]],TODAY(),"Y")</f>
        <v>5</v>
      </c>
      <c r="H562" s="2" t="str" cm="1">
        <f t="array" aca="1" ref="H562" ca="1">_xlfn.IFS(G562&lt;=1,"Fresh",G562&lt;=3,"Junior",G562&lt;=7,"Teamlead",G562&gt;=7,"manger")</f>
        <v>Teamlead</v>
      </c>
      <c r="I562" t="s">
        <v>77</v>
      </c>
      <c r="J562" t="s">
        <v>18</v>
      </c>
      <c r="K562" t="s">
        <v>898</v>
      </c>
      <c r="L562">
        <v>2204</v>
      </c>
      <c r="M562">
        <v>26448</v>
      </c>
      <c r="N562">
        <v>4.5</v>
      </c>
      <c r="O562" t="str" cm="1">
        <f t="array" ref="O562">_xlfn.IFS(EmpTable[[#This Row],[Job Rate]] &lt;=1,"LOW",N562&lt;=2,"LOW",N562&lt;=3,"MEDIUM",N562&gt;4,"HIGH")</f>
        <v>HIGH</v>
      </c>
      <c r="P562">
        <v>1</v>
      </c>
      <c r="Q562">
        <v>0</v>
      </c>
      <c r="R562">
        <v>4</v>
      </c>
    </row>
    <row r="563" spans="1:18" x14ac:dyDescent="0.3">
      <c r="A563">
        <v>562</v>
      </c>
      <c r="B563" t="s">
        <v>766</v>
      </c>
      <c r="C563" t="s">
        <v>767</v>
      </c>
      <c r="D563" t="str">
        <f>_xlfn.CONCAT(EmpTable[[#This Row],[First Name]],EmpTable[[#This Row],[Last Name]])</f>
        <v>SaraTabanaj</v>
      </c>
      <c r="E563" t="s">
        <v>307</v>
      </c>
      <c r="F563" s="1">
        <v>43113</v>
      </c>
      <c r="G563" s="2">
        <f ca="1">DATEDIF(EmpTable[[#This Row],[Start Date]],TODAY(),"Y")</f>
        <v>8</v>
      </c>
      <c r="H563" s="2" t="str" cm="1">
        <f t="array" aca="1" ref="H563" ca="1">_xlfn.IFS(G563&lt;=1,"Fresh",G563&lt;=3,"Junior",G563&lt;=7,"Teamlead",G563&gt;=7,"manger")</f>
        <v>manger</v>
      </c>
      <c r="I563" t="s">
        <v>28</v>
      </c>
      <c r="J563" t="s">
        <v>18</v>
      </c>
      <c r="K563" t="s">
        <v>42</v>
      </c>
      <c r="L563">
        <v>1297</v>
      </c>
      <c r="M563">
        <v>15564</v>
      </c>
      <c r="N563">
        <v>2</v>
      </c>
      <c r="O563" t="str" cm="1">
        <f t="array" ref="O563">_xlfn.IFS(EmpTable[[#This Row],[Job Rate]] &lt;=1,"LOW",N563&lt;=2,"LOW",N563&lt;=3,"MEDIUM",N563&gt;4,"HIGH")</f>
        <v>LOW</v>
      </c>
      <c r="P563">
        <v>2</v>
      </c>
      <c r="Q563">
        <v>0</v>
      </c>
      <c r="R563">
        <v>8</v>
      </c>
    </row>
    <row r="564" spans="1:18" x14ac:dyDescent="0.3">
      <c r="A564">
        <v>563</v>
      </c>
      <c r="B564" t="s">
        <v>506</v>
      </c>
      <c r="C564" t="s">
        <v>768</v>
      </c>
      <c r="D564" t="str">
        <f>_xlfn.CONCAT(EmpTable[[#This Row],[First Name]],EmpTable[[#This Row],[Last Name]])</f>
        <v>Abd AllahAldahan</v>
      </c>
      <c r="E564" t="s">
        <v>32</v>
      </c>
      <c r="F564" s="1">
        <v>44179</v>
      </c>
      <c r="G564" s="2">
        <f ca="1">DATEDIF(EmpTable[[#This Row],[Start Date]],TODAY(),"Y")</f>
        <v>5</v>
      </c>
      <c r="H564" s="2" t="str" cm="1">
        <f t="array" aca="1" ref="H564" ca="1">_xlfn.IFS(G564&lt;=1,"Fresh",G564&lt;=3,"Junior",G564&lt;=7,"Teamlead",G564&gt;=7,"manger")</f>
        <v>Teamlead</v>
      </c>
      <c r="I564" t="s">
        <v>17</v>
      </c>
      <c r="J564" t="s">
        <v>18</v>
      </c>
      <c r="K564" t="s">
        <v>36</v>
      </c>
      <c r="L564">
        <v>3024</v>
      </c>
      <c r="M564">
        <v>36288</v>
      </c>
      <c r="N564">
        <v>4.5</v>
      </c>
      <c r="O564" t="str" cm="1">
        <f t="array" ref="O564">_xlfn.IFS(EmpTable[[#This Row],[Job Rate]] &lt;=1,"LOW",N564&lt;=2,"LOW",N564&lt;=3,"MEDIUM",N564&gt;4,"HIGH")</f>
        <v>HIGH</v>
      </c>
      <c r="P564">
        <v>6</v>
      </c>
      <c r="Q564">
        <v>1</v>
      </c>
      <c r="R564">
        <v>48</v>
      </c>
    </row>
    <row r="565" spans="1:18" x14ac:dyDescent="0.3">
      <c r="A565">
        <v>564</v>
      </c>
      <c r="B565" t="s">
        <v>33</v>
      </c>
      <c r="C565" t="s">
        <v>769</v>
      </c>
      <c r="D565" t="str">
        <f>_xlfn.CONCAT(EmpTable[[#This Row],[First Name]],EmpTable[[#This Row],[Last Name]])</f>
        <v>MuhamadRamzi</v>
      </c>
      <c r="E565" t="s">
        <v>32</v>
      </c>
      <c r="F565" s="1">
        <v>43142</v>
      </c>
      <c r="G565" s="2">
        <f ca="1">DATEDIF(EmpTable[[#This Row],[Start Date]],TODAY(),"Y")</f>
        <v>8</v>
      </c>
      <c r="H565" s="2" t="str" cm="1">
        <f t="array" aca="1" ref="H565" ca="1">_xlfn.IFS(G565&lt;=1,"Fresh",G565&lt;=3,"Junior",G565&lt;=7,"Teamlead",G565&gt;=7,"manger")</f>
        <v>manger</v>
      </c>
      <c r="I565" t="s">
        <v>118</v>
      </c>
      <c r="J565" t="s">
        <v>18</v>
      </c>
      <c r="K565" t="s">
        <v>42</v>
      </c>
      <c r="L565">
        <v>2228</v>
      </c>
      <c r="M565">
        <v>26736</v>
      </c>
      <c r="N565">
        <v>5</v>
      </c>
      <c r="O565" t="str" cm="1">
        <f t="array" ref="O565">_xlfn.IFS(EmpTable[[#This Row],[Job Rate]] &lt;=1,"LOW",N565&lt;=2,"LOW",N565&lt;=3,"MEDIUM",N565&gt;4,"HIGH")</f>
        <v>HIGH</v>
      </c>
      <c r="P565">
        <v>1</v>
      </c>
      <c r="Q565">
        <v>0</v>
      </c>
      <c r="R565">
        <v>78</v>
      </c>
    </row>
    <row r="566" spans="1:18" x14ac:dyDescent="0.3">
      <c r="A566">
        <v>565</v>
      </c>
      <c r="B566" t="s">
        <v>770</v>
      </c>
      <c r="C566" t="s">
        <v>771</v>
      </c>
      <c r="D566" t="str">
        <f>_xlfn.CONCAT(EmpTable[[#This Row],[First Name]],EmpTable[[#This Row],[Last Name]])</f>
        <v>JanMikayiylian</v>
      </c>
      <c r="E566" t="s">
        <v>32</v>
      </c>
      <c r="F566" s="1">
        <v>42377</v>
      </c>
      <c r="G566" s="2">
        <f ca="1">DATEDIF(EmpTable[[#This Row],[Start Date]],TODAY(),"Y")</f>
        <v>10</v>
      </c>
      <c r="H566" s="2" t="str" cm="1">
        <f t="array" aca="1" ref="H566" ca="1">_xlfn.IFS(G566&lt;=1,"Fresh",G566&lt;=3,"Junior",G566&lt;=7,"Teamlead",G566&gt;=7,"manger")</f>
        <v>manger</v>
      </c>
      <c r="I566" t="s">
        <v>77</v>
      </c>
      <c r="J566" t="s">
        <v>18</v>
      </c>
      <c r="K566" t="s">
        <v>19</v>
      </c>
      <c r="L566">
        <v>2009</v>
      </c>
      <c r="M566">
        <v>24108</v>
      </c>
      <c r="N566">
        <v>4.5</v>
      </c>
      <c r="O566" t="str" cm="1">
        <f t="array" ref="O566">_xlfn.IFS(EmpTable[[#This Row],[Job Rate]] &lt;=1,"LOW",N566&lt;=2,"LOW",N566&lt;=3,"MEDIUM",N566&gt;4,"HIGH")</f>
        <v>HIGH</v>
      </c>
      <c r="P566">
        <v>6</v>
      </c>
      <c r="Q566">
        <v>0</v>
      </c>
      <c r="R566">
        <v>0</v>
      </c>
    </row>
    <row r="567" spans="1:18" x14ac:dyDescent="0.3">
      <c r="A567">
        <v>566</v>
      </c>
      <c r="B567" t="s">
        <v>772</v>
      </c>
      <c r="C567" t="s">
        <v>773</v>
      </c>
      <c r="D567" t="str">
        <f>_xlfn.CONCAT(EmpTable[[#This Row],[First Name]],EmpTable[[#This Row],[Last Name]])</f>
        <v>AlmuthanaaAlsaediu</v>
      </c>
      <c r="E567" t="s">
        <v>32</v>
      </c>
      <c r="F567" s="1">
        <v>44087</v>
      </c>
      <c r="G567" s="2">
        <f ca="1">DATEDIF(EmpTable[[#This Row],[Start Date]],TODAY(),"Y")</f>
        <v>5</v>
      </c>
      <c r="H567" s="2" t="str" cm="1">
        <f t="array" aca="1" ref="H567" ca="1">_xlfn.IFS(G567&lt;=1,"Fresh",G567&lt;=3,"Junior",G567&lt;=7,"Teamlead",G567&gt;=7,"manger")</f>
        <v>Teamlead</v>
      </c>
      <c r="I567" t="s">
        <v>41</v>
      </c>
      <c r="J567" t="s">
        <v>18</v>
      </c>
      <c r="K567" t="s">
        <v>36</v>
      </c>
      <c r="L567">
        <v>2573</v>
      </c>
      <c r="M567">
        <v>30876</v>
      </c>
      <c r="N567">
        <v>5</v>
      </c>
      <c r="O567" t="str" cm="1">
        <f t="array" ref="O567">_xlfn.IFS(EmpTable[[#This Row],[Job Rate]] &lt;=1,"LOW",N567&lt;=2,"LOW",N567&lt;=3,"MEDIUM",N567&gt;4,"HIGH")</f>
        <v>HIGH</v>
      </c>
      <c r="P567">
        <v>0</v>
      </c>
      <c r="Q567">
        <v>0</v>
      </c>
      <c r="R567">
        <v>28</v>
      </c>
    </row>
    <row r="568" spans="1:18" x14ac:dyDescent="0.3">
      <c r="A568">
        <v>567</v>
      </c>
      <c r="B568" t="s">
        <v>774</v>
      </c>
      <c r="C568" t="s">
        <v>412</v>
      </c>
      <c r="D568" t="str">
        <f>_xlfn.CONCAT(EmpTable[[#This Row],[First Name]],EmpTable[[#This Row],[Last Name]])</f>
        <v>EmadDulul</v>
      </c>
      <c r="E568" t="s">
        <v>32</v>
      </c>
      <c r="F568" s="1">
        <v>43194</v>
      </c>
      <c r="G568" s="2">
        <f ca="1">DATEDIF(EmpTable[[#This Row],[Start Date]],TODAY(),"Y")</f>
        <v>7</v>
      </c>
      <c r="H568" s="2" t="str" cm="1">
        <f t="array" aca="1" ref="H568" ca="1">_xlfn.IFS(G568&lt;=1,"Fresh",G568&lt;=3,"Junior",G568&lt;=7,"Teamlead",G568&gt;=7,"manger")</f>
        <v>Teamlead</v>
      </c>
      <c r="I568" t="s">
        <v>28</v>
      </c>
      <c r="J568" t="s">
        <v>18</v>
      </c>
      <c r="K568" t="s">
        <v>36</v>
      </c>
      <c r="L568">
        <v>1938</v>
      </c>
      <c r="M568">
        <v>23256</v>
      </c>
      <c r="N568">
        <v>3</v>
      </c>
      <c r="O568" t="str" cm="1">
        <f t="array" ref="O568">_xlfn.IFS(EmpTable[[#This Row],[Job Rate]] &lt;=1,"LOW",N568&lt;=2,"LOW",N568&lt;=3,"MEDIUM",N568&gt;4,"HIGH")</f>
        <v>MEDIUM</v>
      </c>
      <c r="P568">
        <v>0</v>
      </c>
      <c r="Q568">
        <v>0</v>
      </c>
      <c r="R568">
        <v>7</v>
      </c>
    </row>
    <row r="569" spans="1:18" x14ac:dyDescent="0.3">
      <c r="A569">
        <v>568</v>
      </c>
      <c r="B569" t="s">
        <v>578</v>
      </c>
      <c r="C569" t="s">
        <v>775</v>
      </c>
      <c r="D569" t="str">
        <f>_xlfn.CONCAT(EmpTable[[#This Row],[First Name]],EmpTable[[#This Row],[Last Name]])</f>
        <v>SarahHaydar</v>
      </c>
      <c r="E569" t="s">
        <v>307</v>
      </c>
      <c r="F569" s="1">
        <v>43663</v>
      </c>
      <c r="G569" s="2">
        <f ca="1">DATEDIF(EmpTable[[#This Row],[Start Date]],TODAY(),"Y")</f>
        <v>6</v>
      </c>
      <c r="H569" s="2" t="str" cm="1">
        <f t="array" aca="1" ref="H569" ca="1">_xlfn.IFS(G569&lt;=1,"Fresh",G569&lt;=3,"Junior",G569&lt;=7,"Teamlead",G569&gt;=7,"manger")</f>
        <v>Teamlead</v>
      </c>
      <c r="I569" t="s">
        <v>41</v>
      </c>
      <c r="J569" t="s">
        <v>18</v>
      </c>
      <c r="K569" t="s">
        <v>42</v>
      </c>
      <c r="L569">
        <v>1208</v>
      </c>
      <c r="M569">
        <v>14496</v>
      </c>
      <c r="N569">
        <v>5</v>
      </c>
      <c r="O569" t="str" cm="1">
        <f t="array" ref="O569">_xlfn.IFS(EmpTable[[#This Row],[Job Rate]] &lt;=1,"LOW",N569&lt;=2,"LOW",N569&lt;=3,"MEDIUM",N569&gt;4,"HIGH")</f>
        <v>HIGH</v>
      </c>
      <c r="P569">
        <v>3</v>
      </c>
      <c r="Q569">
        <v>0</v>
      </c>
      <c r="R569">
        <v>10</v>
      </c>
    </row>
    <row r="570" spans="1:18" x14ac:dyDescent="0.3">
      <c r="A570">
        <v>569</v>
      </c>
      <c r="B570" t="s">
        <v>776</v>
      </c>
      <c r="C570" t="s">
        <v>777</v>
      </c>
      <c r="D570" t="str">
        <f>_xlfn.CONCAT(EmpTable[[#This Row],[First Name]],EmpTable[[#This Row],[Last Name]])</f>
        <v>AbdalkarimShueayb</v>
      </c>
      <c r="E570" t="s">
        <v>32</v>
      </c>
      <c r="F570" s="1">
        <v>43663</v>
      </c>
      <c r="G570" s="2">
        <f ca="1">DATEDIF(EmpTable[[#This Row],[Start Date]],TODAY(),"Y")</f>
        <v>6</v>
      </c>
      <c r="H570" s="2" t="str" cm="1">
        <f t="array" aca="1" ref="H570" ca="1">_xlfn.IFS(G570&lt;=1,"Fresh",G570&lt;=3,"Junior",G570&lt;=7,"Teamlead",G570&gt;=7,"manger")</f>
        <v>Teamlead</v>
      </c>
      <c r="I570" t="s">
        <v>73</v>
      </c>
      <c r="J570" t="s">
        <v>48</v>
      </c>
      <c r="K570" t="s">
        <v>19</v>
      </c>
      <c r="L570">
        <v>2342</v>
      </c>
      <c r="M570">
        <v>28104</v>
      </c>
      <c r="N570">
        <v>4.5</v>
      </c>
      <c r="O570" t="str" cm="1">
        <f t="array" ref="O570">_xlfn.IFS(EmpTable[[#This Row],[Job Rate]] &lt;=1,"LOW",N570&lt;=2,"LOW",N570&lt;=3,"MEDIUM",N570&gt;4,"HIGH")</f>
        <v>HIGH</v>
      </c>
      <c r="P570">
        <v>5</v>
      </c>
      <c r="Q570">
        <v>0</v>
      </c>
      <c r="R570">
        <v>10</v>
      </c>
    </row>
    <row r="571" spans="1:18" x14ac:dyDescent="0.3">
      <c r="A571">
        <v>570</v>
      </c>
      <c r="B571" t="s">
        <v>33</v>
      </c>
      <c r="C571" t="s">
        <v>179</v>
      </c>
      <c r="D571" t="str">
        <f>_xlfn.CONCAT(EmpTable[[#This Row],[First Name]],EmpTable[[#This Row],[Last Name]])</f>
        <v>MuhamadKhayr</v>
      </c>
      <c r="E571" t="s">
        <v>32</v>
      </c>
      <c r="F571" s="1">
        <v>43950</v>
      </c>
      <c r="G571" s="2">
        <f ca="1">DATEDIF(EmpTable[[#This Row],[Start Date]],TODAY(),"Y")</f>
        <v>5</v>
      </c>
      <c r="H571" s="2" t="str" cm="1">
        <f t="array" aca="1" ref="H571" ca="1">_xlfn.IFS(G571&lt;=1,"Fresh",G571&lt;=3,"Junior",G571&lt;=7,"Teamlead",G571&gt;=7,"manger")</f>
        <v>Teamlead</v>
      </c>
      <c r="I571" t="s">
        <v>50</v>
      </c>
      <c r="J571" t="s">
        <v>18</v>
      </c>
      <c r="K571" t="s">
        <v>42</v>
      </c>
      <c r="L571">
        <v>3244</v>
      </c>
      <c r="M571">
        <v>38928</v>
      </c>
      <c r="N571">
        <v>4.5</v>
      </c>
      <c r="O571" t="str" cm="1">
        <f t="array" ref="O571">_xlfn.IFS(EmpTable[[#This Row],[Job Rate]] &lt;=1,"LOW",N571&lt;=2,"LOW",N571&lt;=3,"MEDIUM",N571&gt;4,"HIGH")</f>
        <v>HIGH</v>
      </c>
      <c r="P571">
        <v>0</v>
      </c>
      <c r="Q571">
        <v>0</v>
      </c>
      <c r="R571">
        <v>78</v>
      </c>
    </row>
    <row r="572" spans="1:18" x14ac:dyDescent="0.3">
      <c r="A572">
        <v>571</v>
      </c>
      <c r="B572" t="s">
        <v>129</v>
      </c>
      <c r="C572" t="s">
        <v>778</v>
      </c>
      <c r="D572" t="str">
        <f>_xlfn.CONCAT(EmpTable[[#This Row],[First Name]],EmpTable[[#This Row],[Last Name]])</f>
        <v>ShadiQitan</v>
      </c>
      <c r="E572" t="s">
        <v>32</v>
      </c>
      <c r="F572" s="1">
        <v>42829</v>
      </c>
      <c r="G572" s="2">
        <f ca="1">DATEDIF(EmpTable[[#This Row],[Start Date]],TODAY(),"Y")</f>
        <v>8</v>
      </c>
      <c r="H572" s="2" t="str" cm="1">
        <f t="array" aca="1" ref="H572" ca="1">_xlfn.IFS(G572&lt;=1,"Fresh",G572&lt;=3,"Junior",G572&lt;=7,"Teamlead",G572&gt;=7,"manger")</f>
        <v>manger</v>
      </c>
      <c r="I572" t="s">
        <v>41</v>
      </c>
      <c r="J572" t="s">
        <v>18</v>
      </c>
      <c r="K572" t="s">
        <v>36</v>
      </c>
      <c r="L572">
        <v>2613</v>
      </c>
      <c r="M572">
        <v>31356</v>
      </c>
      <c r="N572">
        <v>4.5</v>
      </c>
      <c r="O572" t="str" cm="1">
        <f t="array" ref="O572">_xlfn.IFS(EmpTable[[#This Row],[Job Rate]] &lt;=1,"LOW",N572&lt;=2,"LOW",N572&lt;=3,"MEDIUM",N572&gt;4,"HIGH")</f>
        <v>HIGH</v>
      </c>
      <c r="P572">
        <v>0</v>
      </c>
      <c r="Q572">
        <v>1</v>
      </c>
      <c r="R572">
        <v>5</v>
      </c>
    </row>
    <row r="573" spans="1:18" x14ac:dyDescent="0.3">
      <c r="A573">
        <v>572</v>
      </c>
      <c r="B573" t="s">
        <v>33</v>
      </c>
      <c r="C573" t="s">
        <v>779</v>
      </c>
      <c r="D573" t="str">
        <f>_xlfn.CONCAT(EmpTable[[#This Row],[First Name]],EmpTable[[#This Row],[Last Name]])</f>
        <v>MuhamadRajab</v>
      </c>
      <c r="E573" t="s">
        <v>32</v>
      </c>
      <c r="F573" s="1">
        <v>44184</v>
      </c>
      <c r="G573" s="2">
        <f ca="1">DATEDIF(EmpTable[[#This Row],[Start Date]],TODAY(),"Y")</f>
        <v>5</v>
      </c>
      <c r="H573" s="2" t="str" cm="1">
        <f t="array" aca="1" ref="H573" ca="1">_xlfn.IFS(G573&lt;=1,"Fresh",G573&lt;=3,"Junior",G573&lt;=7,"Teamlead",G573&gt;=7,"manger")</f>
        <v>Teamlead</v>
      </c>
      <c r="I573" t="s">
        <v>28</v>
      </c>
      <c r="J573" t="s">
        <v>22</v>
      </c>
      <c r="K573" t="s">
        <v>42</v>
      </c>
      <c r="L573">
        <v>2263</v>
      </c>
      <c r="M573">
        <v>27156</v>
      </c>
      <c r="N573">
        <v>5</v>
      </c>
      <c r="O573" t="str" cm="1">
        <f t="array" ref="O573">_xlfn.IFS(EmpTable[[#This Row],[Job Rate]] &lt;=1,"LOW",N573&lt;=2,"LOW",N573&lt;=3,"MEDIUM",N573&gt;4,"HIGH")</f>
        <v>HIGH</v>
      </c>
      <c r="P573">
        <v>0</v>
      </c>
      <c r="Q573">
        <v>0</v>
      </c>
      <c r="R573">
        <v>9</v>
      </c>
    </row>
    <row r="574" spans="1:18" x14ac:dyDescent="0.3">
      <c r="A574">
        <v>573</v>
      </c>
      <c r="B574" t="s">
        <v>165</v>
      </c>
      <c r="C574" t="s">
        <v>698</v>
      </c>
      <c r="D574" t="str">
        <f>_xlfn.CONCAT(EmpTable[[#This Row],[First Name]],EmpTable[[#This Row],[Last Name]])</f>
        <v>KhalidAlkhawam</v>
      </c>
      <c r="E574" t="s">
        <v>32</v>
      </c>
      <c r="F574" s="1">
        <v>42557</v>
      </c>
      <c r="G574" s="2">
        <f ca="1">DATEDIF(EmpTable[[#This Row],[Start Date]],TODAY(),"Y")</f>
        <v>9</v>
      </c>
      <c r="H574" s="2" t="str" cm="1">
        <f t="array" aca="1" ref="H574" ca="1">_xlfn.IFS(G574&lt;=1,"Fresh",G574&lt;=3,"Junior",G574&lt;=7,"Teamlead",G574&gt;=7,"manger")</f>
        <v>manger</v>
      </c>
      <c r="I574" t="s">
        <v>41</v>
      </c>
      <c r="J574" t="s">
        <v>18</v>
      </c>
      <c r="K574" t="s">
        <v>898</v>
      </c>
      <c r="L574">
        <v>3157</v>
      </c>
      <c r="M574">
        <v>37884</v>
      </c>
      <c r="N574">
        <v>5</v>
      </c>
      <c r="O574" t="str" cm="1">
        <f t="array" ref="O574">_xlfn.IFS(EmpTable[[#This Row],[Job Rate]] &lt;=1,"LOW",N574&lt;=2,"LOW",N574&lt;=3,"MEDIUM",N574&gt;4,"HIGH")</f>
        <v>HIGH</v>
      </c>
      <c r="P574">
        <v>0</v>
      </c>
      <c r="Q574">
        <v>0</v>
      </c>
      <c r="R574">
        <v>1</v>
      </c>
    </row>
    <row r="575" spans="1:18" x14ac:dyDescent="0.3">
      <c r="A575">
        <v>574</v>
      </c>
      <c r="B575" t="s">
        <v>33</v>
      </c>
      <c r="C575" t="s">
        <v>780</v>
      </c>
      <c r="D575" t="str">
        <f>_xlfn.CONCAT(EmpTable[[#This Row],[First Name]],EmpTable[[#This Row],[Last Name]])</f>
        <v>MuhamadAsamh</v>
      </c>
      <c r="E575" t="s">
        <v>32</v>
      </c>
      <c r="F575" s="1">
        <v>43166</v>
      </c>
      <c r="G575" s="2">
        <f ca="1">DATEDIF(EmpTable[[#This Row],[Start Date]],TODAY(),"Y")</f>
        <v>8</v>
      </c>
      <c r="H575" s="2" t="str" cm="1">
        <f t="array" aca="1" ref="H575" ca="1">_xlfn.IFS(G575&lt;=1,"Fresh",G575&lt;=3,"Junior",G575&lt;=7,"Teamlead",G575&gt;=7,"manger")</f>
        <v>manger</v>
      </c>
      <c r="I575" t="s">
        <v>41</v>
      </c>
      <c r="J575" t="s">
        <v>48</v>
      </c>
      <c r="K575" t="s">
        <v>60</v>
      </c>
      <c r="L575">
        <v>2519</v>
      </c>
      <c r="M575">
        <v>30228</v>
      </c>
      <c r="N575">
        <v>5</v>
      </c>
      <c r="O575" t="str" cm="1">
        <f t="array" ref="O575">_xlfn.IFS(EmpTable[[#This Row],[Job Rate]] &lt;=1,"LOW",N575&lt;=2,"LOW",N575&lt;=3,"MEDIUM",N575&gt;4,"HIGH")</f>
        <v>HIGH</v>
      </c>
      <c r="P575">
        <v>2</v>
      </c>
      <c r="Q575">
        <v>2</v>
      </c>
      <c r="R575">
        <v>10</v>
      </c>
    </row>
    <row r="576" spans="1:18" x14ac:dyDescent="0.3">
      <c r="A576">
        <v>575</v>
      </c>
      <c r="B576" t="s">
        <v>59</v>
      </c>
      <c r="C576" t="s">
        <v>781</v>
      </c>
      <c r="D576" t="str">
        <f>_xlfn.CONCAT(EmpTable[[#This Row],[First Name]],EmpTable[[#This Row],[Last Name]])</f>
        <v>AlaaAlyusif</v>
      </c>
      <c r="E576" t="s">
        <v>307</v>
      </c>
      <c r="F576" s="1">
        <v>43894</v>
      </c>
      <c r="G576" s="2">
        <f ca="1">DATEDIF(EmpTable[[#This Row],[Start Date]],TODAY(),"Y")</f>
        <v>6</v>
      </c>
      <c r="H576" s="2" t="str" cm="1">
        <f t="array" aca="1" ref="H576" ca="1">_xlfn.IFS(G576&lt;=1,"Fresh",G576&lt;=3,"Junior",G576&lt;=7,"Teamlead",G576&gt;=7,"manger")</f>
        <v>Teamlead</v>
      </c>
      <c r="I576" t="s">
        <v>50</v>
      </c>
      <c r="J576" t="s">
        <v>29</v>
      </c>
      <c r="K576" t="s">
        <v>19</v>
      </c>
      <c r="L576">
        <v>3019</v>
      </c>
      <c r="M576">
        <v>36228</v>
      </c>
      <c r="N576">
        <v>4.5</v>
      </c>
      <c r="O576" t="str" cm="1">
        <f t="array" ref="O576">_xlfn.IFS(EmpTable[[#This Row],[Job Rate]] &lt;=1,"LOW",N576&lt;=2,"LOW",N576&lt;=3,"MEDIUM",N576&gt;4,"HIGH")</f>
        <v>HIGH</v>
      </c>
      <c r="P576">
        <v>2</v>
      </c>
      <c r="Q576">
        <v>0</v>
      </c>
      <c r="R576">
        <v>15</v>
      </c>
    </row>
    <row r="577" spans="1:18" x14ac:dyDescent="0.3">
      <c r="A577">
        <v>576</v>
      </c>
      <c r="B577" t="s">
        <v>782</v>
      </c>
      <c r="C577" t="s">
        <v>783</v>
      </c>
      <c r="D577" t="str">
        <f>_xlfn.CONCAT(EmpTable[[#This Row],[First Name]],EmpTable[[#This Row],[Last Name]])</f>
        <v>AsymAleaqqad</v>
      </c>
      <c r="E577" t="s">
        <v>307</v>
      </c>
      <c r="F577" s="1">
        <v>43577</v>
      </c>
      <c r="G577" s="2">
        <f ca="1">DATEDIF(EmpTable[[#This Row],[Start Date]],TODAY(),"Y")</f>
        <v>6</v>
      </c>
      <c r="H577" s="2" t="str" cm="1">
        <f t="array" aca="1" ref="H577" ca="1">_xlfn.IFS(G577&lt;=1,"Fresh",G577&lt;=3,"Junior",G577&lt;=7,"Teamlead",G577&gt;=7,"manger")</f>
        <v>Teamlead</v>
      </c>
      <c r="I577" t="s">
        <v>28</v>
      </c>
      <c r="J577" t="s">
        <v>29</v>
      </c>
      <c r="K577" t="s">
        <v>898</v>
      </c>
      <c r="L577">
        <v>3048</v>
      </c>
      <c r="M577">
        <v>36576</v>
      </c>
      <c r="N577">
        <v>2</v>
      </c>
      <c r="O577" t="str" cm="1">
        <f t="array" ref="O577">_xlfn.IFS(EmpTable[[#This Row],[Job Rate]] &lt;=1,"LOW",N577&lt;=2,"LOW",N577&lt;=3,"MEDIUM",N577&gt;4,"HIGH")</f>
        <v>LOW</v>
      </c>
      <c r="P577">
        <v>3</v>
      </c>
      <c r="Q577">
        <v>6</v>
      </c>
      <c r="R577">
        <v>6</v>
      </c>
    </row>
    <row r="578" spans="1:18" x14ac:dyDescent="0.3">
      <c r="A578">
        <v>577</v>
      </c>
      <c r="B578" t="s">
        <v>30</v>
      </c>
      <c r="C578" t="s">
        <v>784</v>
      </c>
      <c r="D578" t="str">
        <f>_xlfn.CONCAT(EmpTable[[#This Row],[First Name]],EmpTable[[#This Row],[Last Name]])</f>
        <v>AhmadDahman</v>
      </c>
      <c r="E578" t="s">
        <v>32</v>
      </c>
      <c r="F578" s="1">
        <v>43811</v>
      </c>
      <c r="G578" s="2">
        <f ca="1">DATEDIF(EmpTable[[#This Row],[Start Date]],TODAY(),"Y")</f>
        <v>6</v>
      </c>
      <c r="H578" s="2" t="str" cm="1">
        <f t="array" aca="1" ref="H578" ca="1">_xlfn.IFS(G578&lt;=1,"Fresh",G578&lt;=3,"Junior",G578&lt;=7,"Teamlead",G578&gt;=7,"manger")</f>
        <v>Teamlead</v>
      </c>
      <c r="I578" t="s">
        <v>28</v>
      </c>
      <c r="J578" t="s">
        <v>18</v>
      </c>
      <c r="K578" t="s">
        <v>19</v>
      </c>
      <c r="L578">
        <v>1523</v>
      </c>
      <c r="M578">
        <v>18276</v>
      </c>
      <c r="N578">
        <v>4.5</v>
      </c>
      <c r="O578" t="str" cm="1">
        <f t="array" ref="O578">_xlfn.IFS(EmpTable[[#This Row],[Job Rate]] &lt;=1,"LOW",N578&lt;=2,"LOW",N578&lt;=3,"MEDIUM",N578&gt;4,"HIGH")</f>
        <v>HIGH</v>
      </c>
      <c r="P578">
        <v>0</v>
      </c>
      <c r="Q578">
        <v>4</v>
      </c>
      <c r="R578">
        <v>2</v>
      </c>
    </row>
    <row r="579" spans="1:18" x14ac:dyDescent="0.3">
      <c r="A579">
        <v>578</v>
      </c>
      <c r="B579" t="s">
        <v>785</v>
      </c>
      <c r="C579" t="s">
        <v>786</v>
      </c>
      <c r="D579" t="str">
        <f>_xlfn.CONCAT(EmpTable[[#This Row],[First Name]],EmpTable[[#This Row],[Last Name]])</f>
        <v>OqbaAlqintar</v>
      </c>
      <c r="E579" t="s">
        <v>32</v>
      </c>
      <c r="F579" s="1">
        <v>43505</v>
      </c>
      <c r="G579" s="2">
        <f ca="1">DATEDIF(EmpTable[[#This Row],[Start Date]],TODAY(),"Y")</f>
        <v>7</v>
      </c>
      <c r="H579" s="2" t="str" cm="1">
        <f t="array" aca="1" ref="H579" ca="1">_xlfn.IFS(G579&lt;=1,"Fresh",G579&lt;=3,"Junior",G579&lt;=7,"Teamlead",G579&gt;=7,"manger")</f>
        <v>Teamlead</v>
      </c>
      <c r="I579" t="s">
        <v>58</v>
      </c>
      <c r="J579" t="s">
        <v>18</v>
      </c>
      <c r="K579" t="s">
        <v>898</v>
      </c>
      <c r="L579">
        <v>2197</v>
      </c>
      <c r="M579">
        <v>26364</v>
      </c>
      <c r="N579">
        <v>1</v>
      </c>
      <c r="O579" t="str" cm="1">
        <f t="array" ref="O579">_xlfn.IFS(EmpTable[[#This Row],[Job Rate]] &lt;=1,"LOW",N579&lt;=2,"LOW",N579&lt;=3,"MEDIUM",N579&gt;4,"HIGH")</f>
        <v>LOW</v>
      </c>
      <c r="P579">
        <v>1</v>
      </c>
      <c r="Q579">
        <v>0</v>
      </c>
      <c r="R579">
        <v>8</v>
      </c>
    </row>
    <row r="580" spans="1:18" x14ac:dyDescent="0.3">
      <c r="A580">
        <v>579</v>
      </c>
      <c r="B580" t="s">
        <v>310</v>
      </c>
      <c r="C580" t="s">
        <v>787</v>
      </c>
      <c r="D580" t="str">
        <f>_xlfn.CONCAT(EmpTable[[#This Row],[First Name]],EmpTable[[#This Row],[Last Name]])</f>
        <v>RahafLaylanaan</v>
      </c>
      <c r="E580" t="s">
        <v>307</v>
      </c>
      <c r="F580" s="1">
        <v>43556</v>
      </c>
      <c r="G580" s="2">
        <f ca="1">DATEDIF(EmpTable[[#This Row],[Start Date]],TODAY(),"Y")</f>
        <v>7</v>
      </c>
      <c r="H580" s="2" t="str" cm="1">
        <f t="array" aca="1" ref="H580" ca="1">_xlfn.IFS(G580&lt;=1,"Fresh",G580&lt;=3,"Junior",G580&lt;=7,"Teamlead",G580&gt;=7,"manger")</f>
        <v>Teamlead</v>
      </c>
      <c r="I580" t="s">
        <v>35</v>
      </c>
      <c r="J580" t="s">
        <v>18</v>
      </c>
      <c r="K580" t="s">
        <v>42</v>
      </c>
      <c r="L580">
        <v>1870</v>
      </c>
      <c r="M580">
        <v>22440</v>
      </c>
      <c r="N580">
        <v>4.5</v>
      </c>
      <c r="O580" t="str" cm="1">
        <f t="array" ref="O580">_xlfn.IFS(EmpTable[[#This Row],[Job Rate]] &lt;=1,"LOW",N580&lt;=2,"LOW",N580&lt;=3,"MEDIUM",N580&gt;4,"HIGH")</f>
        <v>HIGH</v>
      </c>
      <c r="P580">
        <v>0</v>
      </c>
      <c r="Q580">
        <v>3</v>
      </c>
      <c r="R580">
        <v>15</v>
      </c>
    </row>
    <row r="581" spans="1:18" x14ac:dyDescent="0.3">
      <c r="A581">
        <v>580</v>
      </c>
      <c r="B581" t="s">
        <v>33</v>
      </c>
      <c r="C581" t="s">
        <v>779</v>
      </c>
      <c r="D581" t="str">
        <f>_xlfn.CONCAT(EmpTable[[#This Row],[First Name]],EmpTable[[#This Row],[Last Name]])</f>
        <v>MuhamadRajab</v>
      </c>
      <c r="E581" t="s">
        <v>32</v>
      </c>
      <c r="F581" s="1">
        <v>43176</v>
      </c>
      <c r="G581" s="2">
        <f ca="1">DATEDIF(EmpTable[[#This Row],[Start Date]],TODAY(),"Y")</f>
        <v>8</v>
      </c>
      <c r="H581" s="2" t="str" cm="1">
        <f t="array" aca="1" ref="H581" ca="1">_xlfn.IFS(G581&lt;=1,"Fresh",G581&lt;=3,"Junior",G581&lt;=7,"Teamlead",G581&gt;=7,"manger")</f>
        <v>manger</v>
      </c>
      <c r="I581" t="s">
        <v>28</v>
      </c>
      <c r="J581" t="s">
        <v>29</v>
      </c>
      <c r="K581" t="s">
        <v>42</v>
      </c>
      <c r="L581">
        <v>1058</v>
      </c>
      <c r="M581">
        <v>12696</v>
      </c>
      <c r="N581">
        <v>5</v>
      </c>
      <c r="O581" t="str" cm="1">
        <f t="array" ref="O581">_xlfn.IFS(EmpTable[[#This Row],[Job Rate]] &lt;=1,"LOW",N581&lt;=2,"LOW",N581&lt;=3,"MEDIUM",N581&gt;4,"HIGH")</f>
        <v>HIGH</v>
      </c>
      <c r="P581">
        <v>0</v>
      </c>
      <c r="Q581">
        <v>0</v>
      </c>
      <c r="R581">
        <v>10</v>
      </c>
    </row>
    <row r="582" spans="1:18" x14ac:dyDescent="0.3">
      <c r="A582">
        <v>581</v>
      </c>
      <c r="B582" t="s">
        <v>162</v>
      </c>
      <c r="C582" t="s">
        <v>788</v>
      </c>
      <c r="D582" t="str">
        <f>_xlfn.CONCAT(EmpTable[[#This Row],[First Name]],EmpTable[[#This Row],[Last Name]])</f>
        <v>RamadanMuhii Aldiyn</v>
      </c>
      <c r="E582" t="s">
        <v>32</v>
      </c>
      <c r="F582" s="1">
        <v>43741</v>
      </c>
      <c r="G582" s="2">
        <f ca="1">DATEDIF(EmpTable[[#This Row],[Start Date]],TODAY(),"Y")</f>
        <v>6</v>
      </c>
      <c r="H582" s="2" t="str" cm="1">
        <f t="array" aca="1" ref="H582" ca="1">_xlfn.IFS(G582&lt;=1,"Fresh",G582&lt;=3,"Junior",G582&lt;=7,"Teamlead",G582&gt;=7,"manger")</f>
        <v>Teamlead</v>
      </c>
      <c r="I582" t="s">
        <v>39</v>
      </c>
      <c r="J582" t="s">
        <v>18</v>
      </c>
      <c r="K582" t="s">
        <v>60</v>
      </c>
      <c r="L582">
        <v>1257</v>
      </c>
      <c r="M582">
        <v>15084</v>
      </c>
      <c r="N582">
        <v>4.5</v>
      </c>
      <c r="O582" t="str" cm="1">
        <f t="array" ref="O582">_xlfn.IFS(EmpTable[[#This Row],[Job Rate]] &lt;=1,"LOW",N582&lt;=2,"LOW",N582&lt;=3,"MEDIUM",N582&gt;4,"HIGH")</f>
        <v>HIGH</v>
      </c>
      <c r="P582">
        <v>1</v>
      </c>
      <c r="Q582">
        <v>3</v>
      </c>
      <c r="R582">
        <v>2</v>
      </c>
    </row>
    <row r="583" spans="1:18" x14ac:dyDescent="0.3">
      <c r="A583">
        <v>582</v>
      </c>
      <c r="B583" t="s">
        <v>789</v>
      </c>
      <c r="C583" t="s">
        <v>790</v>
      </c>
      <c r="D583" t="str">
        <f>_xlfn.CONCAT(EmpTable[[#This Row],[First Name]],EmpTable[[#This Row],[Last Name]])</f>
        <v>ZaynabEirat</v>
      </c>
      <c r="E583" t="s">
        <v>307</v>
      </c>
      <c r="F583" s="1">
        <v>43825</v>
      </c>
      <c r="G583" s="2">
        <f ca="1">DATEDIF(EmpTable[[#This Row],[Start Date]],TODAY(),"Y")</f>
        <v>6</v>
      </c>
      <c r="H583" s="2" t="str" cm="1">
        <f t="array" aca="1" ref="H583" ca="1">_xlfn.IFS(G583&lt;=1,"Fresh",G583&lt;=3,"Junior",G583&lt;=7,"Teamlead",G583&gt;=7,"manger")</f>
        <v>Teamlead</v>
      </c>
      <c r="I583" t="s">
        <v>35</v>
      </c>
      <c r="J583" t="s">
        <v>29</v>
      </c>
      <c r="K583" t="s">
        <v>42</v>
      </c>
      <c r="L583">
        <v>819</v>
      </c>
      <c r="M583">
        <v>9828</v>
      </c>
      <c r="N583">
        <v>4.5</v>
      </c>
      <c r="O583" t="str" cm="1">
        <f t="array" ref="O583">_xlfn.IFS(EmpTable[[#This Row],[Job Rate]] &lt;=1,"LOW",N583&lt;=2,"LOW",N583&lt;=3,"MEDIUM",N583&gt;4,"HIGH")</f>
        <v>HIGH</v>
      </c>
      <c r="P583">
        <v>5</v>
      </c>
      <c r="Q583">
        <v>0</v>
      </c>
      <c r="R583">
        <v>7</v>
      </c>
    </row>
    <row r="584" spans="1:18" x14ac:dyDescent="0.3">
      <c r="A584">
        <v>583</v>
      </c>
      <c r="B584" t="s">
        <v>207</v>
      </c>
      <c r="C584" t="s">
        <v>557</v>
      </c>
      <c r="D584" t="str">
        <f>_xlfn.CONCAT(EmpTable[[#This Row],[First Name]],EmpTable[[#This Row],[Last Name]])</f>
        <v>Salah AldiynAltibae</v>
      </c>
      <c r="E584" t="s">
        <v>32</v>
      </c>
      <c r="F584" s="1">
        <v>43775</v>
      </c>
      <c r="G584" s="2">
        <f ca="1">DATEDIF(EmpTable[[#This Row],[Start Date]],TODAY(),"Y")</f>
        <v>6</v>
      </c>
      <c r="H584" s="2" t="str" cm="1">
        <f t="array" aca="1" ref="H584" ca="1">_xlfn.IFS(G584&lt;=1,"Fresh",G584&lt;=3,"Junior",G584&lt;=7,"Teamlead",G584&gt;=7,"manger")</f>
        <v>Teamlead</v>
      </c>
      <c r="I584" t="s">
        <v>353</v>
      </c>
      <c r="J584" t="s">
        <v>29</v>
      </c>
      <c r="K584" t="s">
        <v>36</v>
      </c>
      <c r="L584">
        <v>3068</v>
      </c>
      <c r="M584">
        <v>36816</v>
      </c>
      <c r="N584">
        <v>2</v>
      </c>
      <c r="O584" t="str" cm="1">
        <f t="array" ref="O584">_xlfn.IFS(EmpTable[[#This Row],[Job Rate]] &lt;=1,"LOW",N584&lt;=2,"LOW",N584&lt;=3,"MEDIUM",N584&gt;4,"HIGH")</f>
        <v>LOW</v>
      </c>
      <c r="P584">
        <v>4</v>
      </c>
      <c r="Q584">
        <v>0</v>
      </c>
      <c r="R584">
        <v>8</v>
      </c>
    </row>
    <row r="585" spans="1:18" x14ac:dyDescent="0.3">
      <c r="A585">
        <v>584</v>
      </c>
      <c r="B585" t="s">
        <v>127</v>
      </c>
      <c r="C585" t="s">
        <v>791</v>
      </c>
      <c r="D585" t="str">
        <f>_xlfn.CONCAT(EmpTable[[#This Row],[First Name]],EmpTable[[#This Row],[Last Name]])</f>
        <v>FarasAlghandur</v>
      </c>
      <c r="E585" t="s">
        <v>32</v>
      </c>
      <c r="F585" s="1">
        <v>43733</v>
      </c>
      <c r="G585" s="2">
        <f ca="1">DATEDIF(EmpTable[[#This Row],[Start Date]],TODAY(),"Y")</f>
        <v>6</v>
      </c>
      <c r="H585" s="2" t="str" cm="1">
        <f t="array" aca="1" ref="H585" ca="1">_xlfn.IFS(G585&lt;=1,"Fresh",G585&lt;=3,"Junior",G585&lt;=7,"Teamlead",G585&gt;=7,"manger")</f>
        <v>Teamlead</v>
      </c>
      <c r="I585" t="s">
        <v>50</v>
      </c>
      <c r="J585" t="s">
        <v>48</v>
      </c>
      <c r="K585" t="s">
        <v>898</v>
      </c>
      <c r="L585">
        <v>1814</v>
      </c>
      <c r="M585">
        <v>21768</v>
      </c>
      <c r="N585">
        <v>3</v>
      </c>
      <c r="O585" t="str" cm="1">
        <f t="array" ref="O585">_xlfn.IFS(EmpTable[[#This Row],[Job Rate]] &lt;=1,"LOW",N585&lt;=2,"LOW",N585&lt;=3,"MEDIUM",N585&gt;4,"HIGH")</f>
        <v>MEDIUM</v>
      </c>
      <c r="P585">
        <v>0</v>
      </c>
      <c r="Q585">
        <v>0</v>
      </c>
      <c r="R585">
        <v>6</v>
      </c>
    </row>
    <row r="586" spans="1:18" x14ac:dyDescent="0.3">
      <c r="A586">
        <v>585</v>
      </c>
      <c r="B586" t="s">
        <v>357</v>
      </c>
      <c r="C586" t="s">
        <v>792</v>
      </c>
      <c r="D586" t="str">
        <f>_xlfn.CONCAT(EmpTable[[#This Row],[First Name]],EmpTable[[#This Row],[Last Name]])</f>
        <v>HusamTamim</v>
      </c>
      <c r="E586" t="s">
        <v>32</v>
      </c>
      <c r="F586" s="1">
        <v>43605</v>
      </c>
      <c r="G586" s="2">
        <f ca="1">DATEDIF(EmpTable[[#This Row],[Start Date]],TODAY(),"Y")</f>
        <v>6</v>
      </c>
      <c r="H586" s="2" t="str" cm="1">
        <f t="array" aca="1" ref="H586" ca="1">_xlfn.IFS(G586&lt;=1,"Fresh",G586&lt;=3,"Junior",G586&lt;=7,"Teamlead",G586&gt;=7,"manger")</f>
        <v>Teamlead</v>
      </c>
      <c r="I586" t="s">
        <v>17</v>
      </c>
      <c r="J586" t="s">
        <v>18</v>
      </c>
      <c r="K586" t="s">
        <v>898</v>
      </c>
      <c r="L586">
        <v>1076</v>
      </c>
      <c r="M586">
        <v>12912</v>
      </c>
      <c r="N586">
        <v>5</v>
      </c>
      <c r="O586" t="str" cm="1">
        <f t="array" ref="O586">_xlfn.IFS(EmpTable[[#This Row],[Job Rate]] &lt;=1,"LOW",N586&lt;=2,"LOW",N586&lt;=3,"MEDIUM",N586&gt;4,"HIGH")</f>
        <v>HIGH</v>
      </c>
      <c r="P586">
        <v>1</v>
      </c>
      <c r="Q586">
        <v>0</v>
      </c>
      <c r="R586">
        <v>4</v>
      </c>
    </row>
    <row r="587" spans="1:18" x14ac:dyDescent="0.3">
      <c r="A587">
        <v>586</v>
      </c>
      <c r="B587" t="s">
        <v>793</v>
      </c>
      <c r="C587" t="s">
        <v>794</v>
      </c>
      <c r="D587" t="str">
        <f>_xlfn.CONCAT(EmpTable[[#This Row],[First Name]],EmpTable[[#This Row],[Last Name]])</f>
        <v>AyatByd</v>
      </c>
      <c r="E587" t="s">
        <v>307</v>
      </c>
      <c r="F587" s="1">
        <v>42736</v>
      </c>
      <c r="G587" s="2">
        <f ca="1">DATEDIF(EmpTable[[#This Row],[Start Date]],TODAY(),"Y")</f>
        <v>9</v>
      </c>
      <c r="H587" s="2" t="str" cm="1">
        <f t="array" aca="1" ref="H587" ca="1">_xlfn.IFS(G587&lt;=1,"Fresh",G587&lt;=3,"Junior",G587&lt;=7,"Teamlead",G587&gt;=7,"manger")</f>
        <v>manger</v>
      </c>
      <c r="I587" t="s">
        <v>163</v>
      </c>
      <c r="J587" t="s">
        <v>18</v>
      </c>
      <c r="K587" t="s">
        <v>36</v>
      </c>
      <c r="L587">
        <v>3120</v>
      </c>
      <c r="M587">
        <v>37440</v>
      </c>
      <c r="N587">
        <v>3</v>
      </c>
      <c r="O587" t="str" cm="1">
        <f t="array" ref="O587">_xlfn.IFS(EmpTable[[#This Row],[Job Rate]] &lt;=1,"LOW",N587&lt;=2,"LOW",N587&lt;=3,"MEDIUM",N587&gt;4,"HIGH")</f>
        <v>MEDIUM</v>
      </c>
      <c r="P587">
        <v>3</v>
      </c>
      <c r="Q587">
        <v>0</v>
      </c>
      <c r="R587">
        <v>2</v>
      </c>
    </row>
    <row r="588" spans="1:18" x14ac:dyDescent="0.3">
      <c r="A588">
        <v>587</v>
      </c>
      <c r="B588" t="s">
        <v>99</v>
      </c>
      <c r="C588" t="s">
        <v>795</v>
      </c>
      <c r="D588" t="str">
        <f>_xlfn.CONCAT(EmpTable[[#This Row],[First Name]],EmpTable[[#This Row],[Last Name]])</f>
        <v>RimaDaly</v>
      </c>
      <c r="E588" t="s">
        <v>307</v>
      </c>
      <c r="F588" s="1">
        <v>44072</v>
      </c>
      <c r="G588" s="2">
        <f ca="1">DATEDIF(EmpTable[[#This Row],[Start Date]],TODAY(),"Y")</f>
        <v>5</v>
      </c>
      <c r="H588" s="2" t="str" cm="1">
        <f t="array" aca="1" ref="H588" ca="1">_xlfn.IFS(G588&lt;=1,"Fresh",G588&lt;=3,"Junior",G588&lt;=7,"Teamlead",G588&gt;=7,"manger")</f>
        <v>Teamlead</v>
      </c>
      <c r="I588" t="s">
        <v>17</v>
      </c>
      <c r="J588" t="s">
        <v>18</v>
      </c>
      <c r="K588" t="s">
        <v>36</v>
      </c>
      <c r="L588">
        <v>1359</v>
      </c>
      <c r="M588">
        <v>16308</v>
      </c>
      <c r="N588">
        <v>2</v>
      </c>
      <c r="O588" t="str" cm="1">
        <f t="array" ref="O588">_xlfn.IFS(EmpTable[[#This Row],[Job Rate]] &lt;=1,"LOW",N588&lt;=2,"LOW",N588&lt;=3,"MEDIUM",N588&gt;4,"HIGH")</f>
        <v>LOW</v>
      </c>
      <c r="P588">
        <v>0</v>
      </c>
      <c r="Q588">
        <v>0</v>
      </c>
      <c r="R588">
        <v>8</v>
      </c>
    </row>
    <row r="589" spans="1:18" x14ac:dyDescent="0.3">
      <c r="A589">
        <v>588</v>
      </c>
      <c r="B589" t="s">
        <v>33</v>
      </c>
      <c r="C589" t="s">
        <v>796</v>
      </c>
      <c r="D589" t="str">
        <f>_xlfn.CONCAT(EmpTable[[#This Row],[First Name]],EmpTable[[#This Row],[Last Name]])</f>
        <v>MuhamadAlmunajid</v>
      </c>
      <c r="E589" t="s">
        <v>32</v>
      </c>
      <c r="F589" s="1">
        <v>43834</v>
      </c>
      <c r="G589" s="2">
        <f ca="1">DATEDIF(EmpTable[[#This Row],[Start Date]],TODAY(),"Y")</f>
        <v>6</v>
      </c>
      <c r="H589" s="2" t="str" cm="1">
        <f t="array" aca="1" ref="H589" ca="1">_xlfn.IFS(G589&lt;=1,"Fresh",G589&lt;=3,"Junior",G589&lt;=7,"Teamlead",G589&gt;=7,"manger")</f>
        <v>Teamlead</v>
      </c>
      <c r="I589" t="s">
        <v>28</v>
      </c>
      <c r="J589" t="s">
        <v>18</v>
      </c>
      <c r="K589" t="s">
        <v>36</v>
      </c>
      <c r="L589">
        <v>3391</v>
      </c>
      <c r="M589">
        <v>40692</v>
      </c>
      <c r="N589">
        <v>1</v>
      </c>
      <c r="O589" t="str" cm="1">
        <f t="array" ref="O589">_xlfn.IFS(EmpTable[[#This Row],[Job Rate]] &lt;=1,"LOW",N589&lt;=2,"LOW",N589&lt;=3,"MEDIUM",N589&gt;4,"HIGH")</f>
        <v>LOW</v>
      </c>
      <c r="P589">
        <v>0</v>
      </c>
      <c r="Q589">
        <v>3</v>
      </c>
      <c r="R589">
        <v>1</v>
      </c>
    </row>
    <row r="590" spans="1:18" x14ac:dyDescent="0.3">
      <c r="A590">
        <v>589</v>
      </c>
      <c r="B590" t="s">
        <v>797</v>
      </c>
      <c r="C590" t="s">
        <v>33</v>
      </c>
      <c r="D590" t="str">
        <f>_xlfn.CONCAT(EmpTable[[#This Row],[First Name]],EmpTable[[#This Row],[Last Name]])</f>
        <v>EynasMuhamad</v>
      </c>
      <c r="E590" t="s">
        <v>307</v>
      </c>
      <c r="F590" s="1">
        <v>44054</v>
      </c>
      <c r="G590" s="2">
        <f ca="1">DATEDIF(EmpTable[[#This Row],[Start Date]],TODAY(),"Y")</f>
        <v>5</v>
      </c>
      <c r="H590" s="2" t="str" cm="1">
        <f t="array" aca="1" ref="H590" ca="1">_xlfn.IFS(G590&lt;=1,"Fresh",G590&lt;=3,"Junior",G590&lt;=7,"Teamlead",G590&gt;=7,"manger")</f>
        <v>Teamlead</v>
      </c>
      <c r="I590" t="s">
        <v>50</v>
      </c>
      <c r="J590" t="s">
        <v>48</v>
      </c>
      <c r="K590" t="s">
        <v>42</v>
      </c>
      <c r="L590">
        <v>1892</v>
      </c>
      <c r="M590">
        <v>22704</v>
      </c>
      <c r="N590">
        <v>5</v>
      </c>
      <c r="O590" t="str" cm="1">
        <f t="array" ref="O590">_xlfn.IFS(EmpTable[[#This Row],[Job Rate]] &lt;=1,"LOW",N590&lt;=2,"LOW",N590&lt;=3,"MEDIUM",N590&gt;4,"HIGH")</f>
        <v>HIGH</v>
      </c>
      <c r="P590">
        <v>0</v>
      </c>
      <c r="Q590">
        <v>0</v>
      </c>
      <c r="R590">
        <v>6</v>
      </c>
    </row>
    <row r="591" spans="1:18" x14ac:dyDescent="0.3">
      <c r="A591">
        <v>590</v>
      </c>
      <c r="B591" t="s">
        <v>30</v>
      </c>
      <c r="C591" t="s">
        <v>798</v>
      </c>
      <c r="D591" t="str">
        <f>_xlfn.CONCAT(EmpTable[[#This Row],[First Name]],EmpTable[[#This Row],[Last Name]])</f>
        <v>AhmadAhmid</v>
      </c>
      <c r="E591" t="s">
        <v>32</v>
      </c>
      <c r="F591" s="1">
        <v>43884</v>
      </c>
      <c r="G591" s="2">
        <f ca="1">DATEDIF(EmpTable[[#This Row],[Start Date]],TODAY(),"Y")</f>
        <v>6</v>
      </c>
      <c r="H591" s="2" t="str" cm="1">
        <f t="array" aca="1" ref="H591" ca="1">_xlfn.IFS(G591&lt;=1,"Fresh",G591&lt;=3,"Junior",G591&lt;=7,"Teamlead",G591&gt;=7,"manger")</f>
        <v>Teamlead</v>
      </c>
      <c r="I591" t="s">
        <v>28</v>
      </c>
      <c r="J591" t="s">
        <v>18</v>
      </c>
      <c r="K591" t="s">
        <v>19</v>
      </c>
      <c r="L591">
        <v>2639</v>
      </c>
      <c r="M591">
        <v>31668</v>
      </c>
      <c r="N591">
        <v>1</v>
      </c>
      <c r="O591" t="str" cm="1">
        <f t="array" ref="O591">_xlfn.IFS(EmpTable[[#This Row],[Job Rate]] &lt;=1,"LOW",N591&lt;=2,"LOW",N591&lt;=3,"MEDIUM",N591&gt;4,"HIGH")</f>
        <v>LOW</v>
      </c>
      <c r="P591">
        <v>1</v>
      </c>
      <c r="Q591">
        <v>0</v>
      </c>
      <c r="R591">
        <v>3</v>
      </c>
    </row>
    <row r="592" spans="1:18" x14ac:dyDescent="0.3">
      <c r="A592">
        <v>591</v>
      </c>
      <c r="B592" t="s">
        <v>334</v>
      </c>
      <c r="C592" t="s">
        <v>799</v>
      </c>
      <c r="D592" t="str">
        <f>_xlfn.CONCAT(EmpTable[[#This Row],[First Name]],EmpTable[[#This Row],[Last Name]])</f>
        <v>MadlinAljabaei</v>
      </c>
      <c r="E592" t="s">
        <v>307</v>
      </c>
      <c r="F592" s="1">
        <v>44039</v>
      </c>
      <c r="G592" s="2">
        <f ca="1">DATEDIF(EmpTable[[#This Row],[Start Date]],TODAY(),"Y")</f>
        <v>5</v>
      </c>
      <c r="H592" s="2" t="str" cm="1">
        <f t="array" aca="1" ref="H592" ca="1">_xlfn.IFS(G592&lt;=1,"Fresh",G592&lt;=3,"Junior",G592&lt;=7,"Teamlead",G592&gt;=7,"manger")</f>
        <v>Teamlead</v>
      </c>
      <c r="I592" t="s">
        <v>53</v>
      </c>
      <c r="J592" t="s">
        <v>18</v>
      </c>
      <c r="K592" t="s">
        <v>36</v>
      </c>
      <c r="L592">
        <v>1580</v>
      </c>
      <c r="M592">
        <v>18960</v>
      </c>
      <c r="N592">
        <v>5</v>
      </c>
      <c r="O592" t="str" cm="1">
        <f t="array" ref="O592">_xlfn.IFS(EmpTable[[#This Row],[Job Rate]] &lt;=1,"LOW",N592&lt;=2,"LOW",N592&lt;=3,"MEDIUM",N592&gt;4,"HIGH")</f>
        <v>HIGH</v>
      </c>
      <c r="P592">
        <v>2</v>
      </c>
      <c r="Q592">
        <v>5</v>
      </c>
      <c r="R592">
        <v>6</v>
      </c>
    </row>
    <row r="593" spans="1:18" x14ac:dyDescent="0.3">
      <c r="A593">
        <v>592</v>
      </c>
      <c r="B593" t="s">
        <v>186</v>
      </c>
      <c r="C593" t="s">
        <v>800</v>
      </c>
      <c r="D593" t="str">
        <f>_xlfn.CONCAT(EmpTable[[#This Row],[First Name]],EmpTable[[#This Row],[Last Name]])</f>
        <v>AliAlqadri</v>
      </c>
      <c r="E593" t="s">
        <v>32</v>
      </c>
      <c r="F593" s="1">
        <v>43692</v>
      </c>
      <c r="G593" s="2">
        <f ca="1">DATEDIF(EmpTable[[#This Row],[Start Date]],TODAY(),"Y")</f>
        <v>6</v>
      </c>
      <c r="H593" s="2" t="str" cm="1">
        <f t="array" aca="1" ref="H593" ca="1">_xlfn.IFS(G593&lt;=1,"Fresh",G593&lt;=3,"Junior",G593&lt;=7,"Teamlead",G593&gt;=7,"manger")</f>
        <v>Teamlead</v>
      </c>
      <c r="I593" t="s">
        <v>17</v>
      </c>
      <c r="J593" t="s">
        <v>18</v>
      </c>
      <c r="K593" t="s">
        <v>36</v>
      </c>
      <c r="L593">
        <v>2186</v>
      </c>
      <c r="M593">
        <v>26232</v>
      </c>
      <c r="N593">
        <v>3</v>
      </c>
      <c r="O593" t="str" cm="1">
        <f t="array" ref="O593">_xlfn.IFS(EmpTable[[#This Row],[Job Rate]] &lt;=1,"LOW",N593&lt;=2,"LOW",N593&lt;=3,"MEDIUM",N593&gt;4,"HIGH")</f>
        <v>MEDIUM</v>
      </c>
      <c r="P593">
        <v>0</v>
      </c>
      <c r="Q593">
        <v>0</v>
      </c>
      <c r="R593">
        <v>4</v>
      </c>
    </row>
    <row r="594" spans="1:18" x14ac:dyDescent="0.3">
      <c r="A594">
        <v>593</v>
      </c>
      <c r="B594" t="s">
        <v>33</v>
      </c>
      <c r="C594" t="s">
        <v>721</v>
      </c>
      <c r="D594" t="str">
        <f>_xlfn.CONCAT(EmpTable[[#This Row],[First Name]],EmpTable[[#This Row],[Last Name]])</f>
        <v>MuhamadDib</v>
      </c>
      <c r="E594" t="s">
        <v>32</v>
      </c>
      <c r="F594" s="1">
        <v>43684</v>
      </c>
      <c r="G594" s="2">
        <f ca="1">DATEDIF(EmpTable[[#This Row],[Start Date]],TODAY(),"Y")</f>
        <v>6</v>
      </c>
      <c r="H594" s="2" t="str" cm="1">
        <f t="array" aca="1" ref="H594" ca="1">_xlfn.IFS(G594&lt;=1,"Fresh",G594&lt;=3,"Junior",G594&lt;=7,"Teamlead",G594&gt;=7,"manger")</f>
        <v>Teamlead</v>
      </c>
      <c r="I594" t="s">
        <v>53</v>
      </c>
      <c r="J594" t="s">
        <v>29</v>
      </c>
      <c r="K594" t="s">
        <v>19</v>
      </c>
      <c r="L594">
        <v>1574</v>
      </c>
      <c r="M594">
        <v>18888</v>
      </c>
      <c r="N594">
        <v>2</v>
      </c>
      <c r="O594" t="str" cm="1">
        <f t="array" ref="O594">_xlfn.IFS(EmpTable[[#This Row],[Job Rate]] &lt;=1,"LOW",N594&lt;=2,"LOW",N594&lt;=3,"MEDIUM",N594&gt;4,"HIGH")</f>
        <v>LOW</v>
      </c>
      <c r="P594">
        <v>0</v>
      </c>
      <c r="Q594">
        <v>0</v>
      </c>
      <c r="R594">
        <v>6</v>
      </c>
    </row>
    <row r="595" spans="1:18" x14ac:dyDescent="0.3">
      <c r="A595">
        <v>594</v>
      </c>
      <c r="B595" t="s">
        <v>718</v>
      </c>
      <c r="C595" t="s">
        <v>801</v>
      </c>
      <c r="D595" t="str">
        <f>_xlfn.CONCAT(EmpTable[[#This Row],[First Name]],EmpTable[[#This Row],[Last Name]])</f>
        <v>HananBradiei</v>
      </c>
      <c r="E595" t="s">
        <v>307</v>
      </c>
      <c r="F595" s="1">
        <v>43154</v>
      </c>
      <c r="G595" s="2">
        <f ca="1">DATEDIF(EmpTable[[#This Row],[Start Date]],TODAY(),"Y")</f>
        <v>8</v>
      </c>
      <c r="H595" s="2" t="str" cm="1">
        <f t="array" aca="1" ref="H595" ca="1">_xlfn.IFS(G595&lt;=1,"Fresh",G595&lt;=3,"Junior",G595&lt;=7,"Teamlead",G595&gt;=7,"manger")</f>
        <v>manger</v>
      </c>
      <c r="I595" t="s">
        <v>41</v>
      </c>
      <c r="J595" t="s">
        <v>22</v>
      </c>
      <c r="K595" t="s">
        <v>36</v>
      </c>
      <c r="L595">
        <v>2013</v>
      </c>
      <c r="M595">
        <v>24156</v>
      </c>
      <c r="N595">
        <v>4.5</v>
      </c>
      <c r="O595" t="str" cm="1">
        <f t="array" ref="O595">_xlfn.IFS(EmpTable[[#This Row],[Job Rate]] &lt;=1,"LOW",N595&lt;=2,"LOW",N595&lt;=3,"MEDIUM",N595&gt;4,"HIGH")</f>
        <v>HIGH</v>
      </c>
      <c r="P595">
        <v>6</v>
      </c>
      <c r="Q595">
        <v>0</v>
      </c>
      <c r="R595">
        <v>8</v>
      </c>
    </row>
    <row r="596" spans="1:18" x14ac:dyDescent="0.3">
      <c r="A596">
        <v>595</v>
      </c>
      <c r="B596" t="s">
        <v>419</v>
      </c>
      <c r="C596" t="s">
        <v>802</v>
      </c>
      <c r="D596" t="str">
        <f>_xlfn.CONCAT(EmpTable[[#This Row],[First Name]],EmpTable[[#This Row],[Last Name]])</f>
        <v>DanahSuirkili</v>
      </c>
      <c r="E596" t="s">
        <v>307</v>
      </c>
      <c r="F596" s="1">
        <v>43835</v>
      </c>
      <c r="G596" s="2">
        <f ca="1">DATEDIF(EmpTable[[#This Row],[Start Date]],TODAY(),"Y")</f>
        <v>6</v>
      </c>
      <c r="H596" s="2" t="str" cm="1">
        <f t="array" aca="1" ref="H596" ca="1">_xlfn.IFS(G596&lt;=1,"Fresh",G596&lt;=3,"Junior",G596&lt;=7,"Teamlead",G596&gt;=7,"manger")</f>
        <v>Teamlead</v>
      </c>
      <c r="I596" t="s">
        <v>50</v>
      </c>
      <c r="J596" t="s">
        <v>18</v>
      </c>
      <c r="K596" t="s">
        <v>36</v>
      </c>
      <c r="L596">
        <v>2075</v>
      </c>
      <c r="M596">
        <v>24900</v>
      </c>
      <c r="N596">
        <v>2</v>
      </c>
      <c r="O596" t="str" cm="1">
        <f t="array" ref="O596">_xlfn.IFS(EmpTable[[#This Row],[Job Rate]] &lt;=1,"LOW",N596&lt;=2,"LOW",N596&lt;=3,"MEDIUM",N596&gt;4,"HIGH")</f>
        <v>LOW</v>
      </c>
      <c r="P596">
        <v>0</v>
      </c>
      <c r="Q596">
        <v>0</v>
      </c>
      <c r="R596">
        <v>5</v>
      </c>
    </row>
    <row r="597" spans="1:18" x14ac:dyDescent="0.3">
      <c r="A597">
        <v>596</v>
      </c>
      <c r="B597" t="s">
        <v>122</v>
      </c>
      <c r="C597" t="s">
        <v>803</v>
      </c>
      <c r="D597" t="str">
        <f>_xlfn.CONCAT(EmpTable[[#This Row],[First Name]],EmpTable[[#This Row],[Last Name]])</f>
        <v>GhadaDarakal</v>
      </c>
      <c r="E597" t="s">
        <v>307</v>
      </c>
      <c r="F597" s="1">
        <v>43225</v>
      </c>
      <c r="G597" s="2">
        <f ca="1">DATEDIF(EmpTable[[#This Row],[Start Date]],TODAY(),"Y")</f>
        <v>7</v>
      </c>
      <c r="H597" s="2" t="str" cm="1">
        <f t="array" aca="1" ref="H597" ca="1">_xlfn.IFS(G597&lt;=1,"Fresh",G597&lt;=3,"Junior",G597&lt;=7,"Teamlead",G597&gt;=7,"manger")</f>
        <v>Teamlead</v>
      </c>
      <c r="I597" t="s">
        <v>28</v>
      </c>
      <c r="J597" t="s">
        <v>18</v>
      </c>
      <c r="K597" t="s">
        <v>36</v>
      </c>
      <c r="L597">
        <v>1372</v>
      </c>
      <c r="M597">
        <v>16464</v>
      </c>
      <c r="N597">
        <v>1</v>
      </c>
      <c r="O597" t="str" cm="1">
        <f t="array" ref="O597">_xlfn.IFS(EmpTable[[#This Row],[Job Rate]] &lt;=1,"LOW",N597&lt;=2,"LOW",N597&lt;=3,"MEDIUM",N597&gt;4,"HIGH")</f>
        <v>LOW</v>
      </c>
      <c r="P597">
        <v>0</v>
      </c>
      <c r="Q597">
        <v>3</v>
      </c>
      <c r="R597">
        <v>2</v>
      </c>
    </row>
    <row r="598" spans="1:18" x14ac:dyDescent="0.3">
      <c r="A598">
        <v>597</v>
      </c>
      <c r="B598" t="s">
        <v>170</v>
      </c>
      <c r="C598" t="s">
        <v>804</v>
      </c>
      <c r="D598" t="str">
        <f>_xlfn.CONCAT(EmpTable[[#This Row],[First Name]],EmpTable[[#This Row],[Last Name]])</f>
        <v>MazinBihtiti</v>
      </c>
      <c r="E598" t="s">
        <v>32</v>
      </c>
      <c r="F598" s="1">
        <v>43315</v>
      </c>
      <c r="G598" s="2">
        <f ca="1">DATEDIF(EmpTable[[#This Row],[Start Date]],TODAY(),"Y")</f>
        <v>7</v>
      </c>
      <c r="H598" s="2" t="str" cm="1">
        <f t="array" aca="1" ref="H598" ca="1">_xlfn.IFS(G598&lt;=1,"Fresh",G598&lt;=3,"Junior",G598&lt;=7,"Teamlead",G598&gt;=7,"manger")</f>
        <v>Teamlead</v>
      </c>
      <c r="I598" t="s">
        <v>53</v>
      </c>
      <c r="J598" t="s">
        <v>18</v>
      </c>
      <c r="K598" t="s">
        <v>42</v>
      </c>
      <c r="L598">
        <v>2026</v>
      </c>
      <c r="M598">
        <v>24312</v>
      </c>
      <c r="N598">
        <v>4.5</v>
      </c>
      <c r="O598" t="str" cm="1">
        <f t="array" ref="O598">_xlfn.IFS(EmpTable[[#This Row],[Job Rate]] &lt;=1,"LOW",N598&lt;=2,"LOW",N598&lt;=3,"MEDIUM",N598&gt;4,"HIGH")</f>
        <v>HIGH</v>
      </c>
      <c r="P598">
        <v>0</v>
      </c>
      <c r="Q598">
        <v>0</v>
      </c>
      <c r="R598">
        <v>7</v>
      </c>
    </row>
    <row r="599" spans="1:18" x14ac:dyDescent="0.3">
      <c r="A599">
        <v>598</v>
      </c>
      <c r="B599" t="s">
        <v>805</v>
      </c>
      <c r="C599" t="s">
        <v>806</v>
      </c>
      <c r="D599" t="str">
        <f>_xlfn.CONCAT(EmpTable[[#This Row],[First Name]],EmpTable[[#This Row],[Last Name]])</f>
        <v>RidwanAlshulyan</v>
      </c>
      <c r="E599" t="s">
        <v>32</v>
      </c>
      <c r="F599" s="1">
        <v>42854</v>
      </c>
      <c r="G599" s="2">
        <f ca="1">DATEDIF(EmpTable[[#This Row],[Start Date]],TODAY(),"Y")</f>
        <v>8</v>
      </c>
      <c r="H599" s="2" t="str" cm="1">
        <f t="array" aca="1" ref="H599" ca="1">_xlfn.IFS(G599&lt;=1,"Fresh",G599&lt;=3,"Junior",G599&lt;=7,"Teamlead",G599&gt;=7,"manger")</f>
        <v>manger</v>
      </c>
      <c r="I599" t="s">
        <v>28</v>
      </c>
      <c r="J599" t="s">
        <v>29</v>
      </c>
      <c r="K599" t="s">
        <v>36</v>
      </c>
      <c r="L599">
        <v>1351</v>
      </c>
      <c r="M599">
        <v>16212</v>
      </c>
      <c r="N599">
        <v>2</v>
      </c>
      <c r="O599" t="str" cm="1">
        <f t="array" ref="O599">_xlfn.IFS(EmpTable[[#This Row],[Job Rate]] &lt;=1,"LOW",N599&lt;=2,"LOW",N599&lt;=3,"MEDIUM",N599&gt;4,"HIGH")</f>
        <v>LOW</v>
      </c>
      <c r="P599">
        <v>0</v>
      </c>
      <c r="Q599">
        <v>0</v>
      </c>
      <c r="R599">
        <v>8</v>
      </c>
    </row>
    <row r="600" spans="1:18" x14ac:dyDescent="0.3">
      <c r="A600">
        <v>599</v>
      </c>
      <c r="B600" t="s">
        <v>186</v>
      </c>
      <c r="C600" t="s">
        <v>807</v>
      </c>
      <c r="D600" t="str">
        <f>_xlfn.CONCAT(EmpTable[[#This Row],[First Name]],EmpTable[[#This Row],[Last Name]])</f>
        <v>AliBarghaly</v>
      </c>
      <c r="E600" t="s">
        <v>32</v>
      </c>
      <c r="F600" s="1">
        <v>42884</v>
      </c>
      <c r="G600" s="2">
        <f ca="1">DATEDIF(EmpTable[[#This Row],[Start Date]],TODAY(),"Y")</f>
        <v>8</v>
      </c>
      <c r="H600" s="2" t="str" cm="1">
        <f t="array" aca="1" ref="H600" ca="1">_xlfn.IFS(G600&lt;=1,"Fresh",G600&lt;=3,"Junior",G600&lt;=7,"Teamlead",G600&gt;=7,"manger")</f>
        <v>manger</v>
      </c>
      <c r="I600" t="s">
        <v>17</v>
      </c>
      <c r="J600" t="s">
        <v>18</v>
      </c>
      <c r="K600" t="s">
        <v>19</v>
      </c>
      <c r="L600">
        <v>1111</v>
      </c>
      <c r="M600">
        <v>13332</v>
      </c>
      <c r="N600">
        <v>1</v>
      </c>
      <c r="O600" t="str" cm="1">
        <f t="array" ref="O600">_xlfn.IFS(EmpTable[[#This Row],[Job Rate]] &lt;=1,"LOW",N600&lt;=2,"LOW",N600&lt;=3,"MEDIUM",N600&gt;4,"HIGH")</f>
        <v>LOW</v>
      </c>
      <c r="P600">
        <v>3</v>
      </c>
      <c r="Q600">
        <v>0</v>
      </c>
      <c r="R600">
        <v>6</v>
      </c>
    </row>
    <row r="601" spans="1:18" x14ac:dyDescent="0.3">
      <c r="A601">
        <v>600</v>
      </c>
      <c r="B601" t="s">
        <v>49</v>
      </c>
      <c r="C601" t="s">
        <v>808</v>
      </c>
      <c r="D601" t="str">
        <f>_xlfn.CONCAT(EmpTable[[#This Row],[First Name]],EmpTable[[#This Row],[Last Name]])</f>
        <v>IadBadran</v>
      </c>
      <c r="E601" t="s">
        <v>32</v>
      </c>
      <c r="F601" s="1">
        <v>44016</v>
      </c>
      <c r="G601" s="2">
        <f ca="1">DATEDIF(EmpTable[[#This Row],[Start Date]],TODAY(),"Y")</f>
        <v>5</v>
      </c>
      <c r="H601" s="2" t="str" cm="1">
        <f t="array" aca="1" ref="H601" ca="1">_xlfn.IFS(G601&lt;=1,"Fresh",G601&lt;=3,"Junior",G601&lt;=7,"Teamlead",G601&gt;=7,"manger")</f>
        <v>Teamlead</v>
      </c>
      <c r="I601" t="s">
        <v>17</v>
      </c>
      <c r="J601" t="s">
        <v>18</v>
      </c>
      <c r="K601" t="s">
        <v>36</v>
      </c>
      <c r="L601">
        <v>1554</v>
      </c>
      <c r="M601">
        <v>18648</v>
      </c>
      <c r="N601">
        <v>5</v>
      </c>
      <c r="O601" t="str" cm="1">
        <f t="array" ref="O601">_xlfn.IFS(EmpTable[[#This Row],[Job Rate]] &lt;=1,"LOW",N601&lt;=2,"LOW",N601&lt;=3,"MEDIUM",N601&gt;4,"HIGH")</f>
        <v>HIGH</v>
      </c>
      <c r="P601">
        <v>6</v>
      </c>
      <c r="Q601">
        <v>5</v>
      </c>
      <c r="R601">
        <v>8</v>
      </c>
    </row>
    <row r="602" spans="1:18" x14ac:dyDescent="0.3">
      <c r="A602">
        <v>601</v>
      </c>
      <c r="B602" t="s">
        <v>684</v>
      </c>
      <c r="C602" t="s">
        <v>809</v>
      </c>
      <c r="D602" t="str">
        <f>_xlfn.CONCAT(EmpTable[[#This Row],[First Name]],EmpTable[[#This Row],[Last Name]])</f>
        <v>AbdalrhminShwk</v>
      </c>
      <c r="E602" t="s">
        <v>32</v>
      </c>
      <c r="F602" s="1">
        <v>43758</v>
      </c>
      <c r="G602" s="2">
        <f ca="1">DATEDIF(EmpTable[[#This Row],[Start Date]],TODAY(),"Y")</f>
        <v>6</v>
      </c>
      <c r="H602" s="2" t="str" cm="1">
        <f t="array" aca="1" ref="H602" ca="1">_xlfn.IFS(G602&lt;=1,"Fresh",G602&lt;=3,"Junior",G602&lt;=7,"Teamlead",G602&gt;=7,"manger")</f>
        <v>Teamlead</v>
      </c>
      <c r="I602" t="s">
        <v>77</v>
      </c>
      <c r="J602" t="s">
        <v>22</v>
      </c>
      <c r="K602" t="s">
        <v>19</v>
      </c>
      <c r="L602">
        <v>3057</v>
      </c>
      <c r="M602">
        <v>36684</v>
      </c>
      <c r="N602">
        <v>5</v>
      </c>
      <c r="O602" t="str" cm="1">
        <f t="array" ref="O602">_xlfn.IFS(EmpTable[[#This Row],[Job Rate]] &lt;=1,"LOW",N602&lt;=2,"LOW",N602&lt;=3,"MEDIUM",N602&gt;4,"HIGH")</f>
        <v>HIGH</v>
      </c>
      <c r="P602">
        <v>0</v>
      </c>
      <c r="Q602">
        <v>0</v>
      </c>
      <c r="R602">
        <v>0</v>
      </c>
    </row>
    <row r="603" spans="1:18" x14ac:dyDescent="0.3">
      <c r="A603">
        <v>602</v>
      </c>
      <c r="B603" t="s">
        <v>357</v>
      </c>
      <c r="C603" t="s">
        <v>810</v>
      </c>
      <c r="D603" t="str">
        <f>_xlfn.CONCAT(EmpTable[[#This Row],[First Name]],EmpTable[[#This Row],[Last Name]])</f>
        <v>HusamAldiyn</v>
      </c>
      <c r="E603" t="s">
        <v>32</v>
      </c>
      <c r="F603" s="1">
        <v>43453</v>
      </c>
      <c r="G603" s="2">
        <f ca="1">DATEDIF(EmpTable[[#This Row],[Start Date]],TODAY(),"Y")</f>
        <v>7</v>
      </c>
      <c r="H603" s="2" t="str" cm="1">
        <f t="array" aca="1" ref="H603" ca="1">_xlfn.IFS(G603&lt;=1,"Fresh",G603&lt;=3,"Junior",G603&lt;=7,"Teamlead",G603&gt;=7,"manger")</f>
        <v>Teamlead</v>
      </c>
      <c r="I603" t="s">
        <v>50</v>
      </c>
      <c r="J603" t="s">
        <v>22</v>
      </c>
      <c r="K603" t="s">
        <v>60</v>
      </c>
      <c r="L603">
        <v>1733</v>
      </c>
      <c r="M603">
        <v>20796</v>
      </c>
      <c r="N603">
        <v>3</v>
      </c>
      <c r="O603" t="str" cm="1">
        <f t="array" ref="O603">_xlfn.IFS(EmpTable[[#This Row],[Job Rate]] &lt;=1,"LOW",N603&lt;=2,"LOW",N603&lt;=3,"MEDIUM",N603&gt;4,"HIGH")</f>
        <v>MEDIUM</v>
      </c>
      <c r="P603">
        <v>0</v>
      </c>
      <c r="Q603">
        <v>0</v>
      </c>
      <c r="R603">
        <v>3</v>
      </c>
    </row>
    <row r="604" spans="1:18" x14ac:dyDescent="0.3">
      <c r="A604">
        <v>603</v>
      </c>
      <c r="B604" t="s">
        <v>30</v>
      </c>
      <c r="C604" t="s">
        <v>811</v>
      </c>
      <c r="D604" t="str">
        <f>_xlfn.CONCAT(EmpTable[[#This Row],[First Name]],EmpTable[[#This Row],[Last Name]])</f>
        <v>AhmadHamuwdatan</v>
      </c>
      <c r="E604" t="s">
        <v>32</v>
      </c>
      <c r="F604" s="1">
        <v>42393</v>
      </c>
      <c r="G604" s="2">
        <f ca="1">DATEDIF(EmpTable[[#This Row],[Start Date]],TODAY(),"Y")</f>
        <v>10</v>
      </c>
      <c r="H604" s="2" t="str" cm="1">
        <f t="array" aca="1" ref="H604" ca="1">_xlfn.IFS(G604&lt;=1,"Fresh",G604&lt;=3,"Junior",G604&lt;=7,"Teamlead",G604&gt;=7,"manger")</f>
        <v>manger</v>
      </c>
      <c r="I604" t="s">
        <v>163</v>
      </c>
      <c r="J604" t="s">
        <v>18</v>
      </c>
      <c r="K604" t="s">
        <v>42</v>
      </c>
      <c r="L604">
        <v>1511</v>
      </c>
      <c r="M604">
        <v>18132</v>
      </c>
      <c r="N604">
        <v>5</v>
      </c>
      <c r="O604" t="str" cm="1">
        <f t="array" ref="O604">_xlfn.IFS(EmpTable[[#This Row],[Job Rate]] &lt;=1,"LOW",N604&lt;=2,"LOW",N604&lt;=3,"MEDIUM",N604&gt;4,"HIGH")</f>
        <v>HIGH</v>
      </c>
      <c r="P604">
        <v>0</v>
      </c>
      <c r="Q604">
        <v>0</v>
      </c>
      <c r="R604">
        <v>2</v>
      </c>
    </row>
    <row r="605" spans="1:18" x14ac:dyDescent="0.3">
      <c r="A605">
        <v>604</v>
      </c>
      <c r="B605" t="s">
        <v>30</v>
      </c>
      <c r="C605" t="s">
        <v>113</v>
      </c>
      <c r="D605" t="str">
        <f>_xlfn.CONCAT(EmpTable[[#This Row],[First Name]],EmpTable[[#This Row],[Last Name]])</f>
        <v>AhmadLaylana</v>
      </c>
      <c r="E605" t="s">
        <v>32</v>
      </c>
      <c r="F605" s="1">
        <v>42737</v>
      </c>
      <c r="G605" s="2">
        <f ca="1">DATEDIF(EmpTable[[#This Row],[Start Date]],TODAY(),"Y")</f>
        <v>9</v>
      </c>
      <c r="H605" s="2" t="str" cm="1">
        <f t="array" aca="1" ref="H605" ca="1">_xlfn.IFS(G605&lt;=1,"Fresh",G605&lt;=3,"Junior",G605&lt;=7,"Teamlead",G605&gt;=7,"manger")</f>
        <v>manger</v>
      </c>
      <c r="I605" t="s">
        <v>39</v>
      </c>
      <c r="J605" t="s">
        <v>18</v>
      </c>
      <c r="K605" t="s">
        <v>42</v>
      </c>
      <c r="L605">
        <v>2542</v>
      </c>
      <c r="M605">
        <v>30504</v>
      </c>
      <c r="N605">
        <v>5</v>
      </c>
      <c r="O605" t="str" cm="1">
        <f t="array" ref="O605">_xlfn.IFS(EmpTable[[#This Row],[Job Rate]] &lt;=1,"LOW",N605&lt;=2,"LOW",N605&lt;=3,"MEDIUM",N605&gt;4,"HIGH")</f>
        <v>HIGH</v>
      </c>
      <c r="P605">
        <v>0</v>
      </c>
      <c r="Q605">
        <v>6</v>
      </c>
      <c r="R605">
        <v>6</v>
      </c>
    </row>
    <row r="606" spans="1:18" x14ac:dyDescent="0.3">
      <c r="A606">
        <v>605</v>
      </c>
      <c r="B606" t="s">
        <v>812</v>
      </c>
      <c r="C606" t="s">
        <v>685</v>
      </c>
      <c r="D606" t="str">
        <f>_xlfn.CONCAT(EmpTable[[#This Row],[First Name]],EmpTable[[#This Row],[Last Name]])</f>
        <v>ShuruqAljuju</v>
      </c>
      <c r="E606" t="s">
        <v>307</v>
      </c>
      <c r="F606" s="1">
        <v>43830</v>
      </c>
      <c r="G606" s="2">
        <f ca="1">DATEDIF(EmpTable[[#This Row],[Start Date]],TODAY(),"Y")</f>
        <v>6</v>
      </c>
      <c r="H606" s="2" t="str" cm="1">
        <f t="array" aca="1" ref="H606" ca="1">_xlfn.IFS(G606&lt;=1,"Fresh",G606&lt;=3,"Junior",G606&lt;=7,"Teamlead",G606&gt;=7,"manger")</f>
        <v>Teamlead</v>
      </c>
      <c r="I606" t="s">
        <v>17</v>
      </c>
      <c r="J606" t="s">
        <v>18</v>
      </c>
      <c r="K606" t="s">
        <v>36</v>
      </c>
      <c r="L606">
        <v>1573</v>
      </c>
      <c r="M606">
        <v>18876</v>
      </c>
      <c r="N606">
        <v>1</v>
      </c>
      <c r="O606" t="str" cm="1">
        <f t="array" ref="O606">_xlfn.IFS(EmpTable[[#This Row],[Job Rate]] &lt;=1,"LOW",N606&lt;=2,"LOW",N606&lt;=3,"MEDIUM",N606&gt;4,"HIGH")</f>
        <v>LOW</v>
      </c>
      <c r="P606">
        <v>2</v>
      </c>
      <c r="Q606">
        <v>0</v>
      </c>
      <c r="R606">
        <v>3</v>
      </c>
    </row>
    <row r="607" spans="1:18" x14ac:dyDescent="0.3">
      <c r="A607">
        <v>606</v>
      </c>
      <c r="B607" t="s">
        <v>33</v>
      </c>
      <c r="C607" t="s">
        <v>813</v>
      </c>
      <c r="D607" t="str">
        <f>_xlfn.CONCAT(EmpTable[[#This Row],[First Name]],EmpTable[[#This Row],[Last Name]])</f>
        <v>MuhamadAlshahrur</v>
      </c>
      <c r="E607" t="s">
        <v>32</v>
      </c>
      <c r="F607" s="1">
        <v>43010</v>
      </c>
      <c r="G607" s="2">
        <f ca="1">DATEDIF(EmpTable[[#This Row],[Start Date]],TODAY(),"Y")</f>
        <v>8</v>
      </c>
      <c r="H607" s="2" t="str" cm="1">
        <f t="array" aca="1" ref="H607" ca="1">_xlfn.IFS(G607&lt;=1,"Fresh",G607&lt;=3,"Junior",G607&lt;=7,"Teamlead",G607&gt;=7,"manger")</f>
        <v>manger</v>
      </c>
      <c r="I607" t="s">
        <v>28</v>
      </c>
      <c r="J607" t="s">
        <v>48</v>
      </c>
      <c r="K607" t="s">
        <v>42</v>
      </c>
      <c r="L607">
        <v>2604</v>
      </c>
      <c r="M607">
        <v>31248</v>
      </c>
      <c r="N607">
        <v>3</v>
      </c>
      <c r="O607" t="str" cm="1">
        <f t="array" ref="O607">_xlfn.IFS(EmpTable[[#This Row],[Job Rate]] &lt;=1,"LOW",N607&lt;=2,"LOW",N607&lt;=3,"MEDIUM",N607&gt;4,"HIGH")</f>
        <v>MEDIUM</v>
      </c>
      <c r="P607">
        <v>0</v>
      </c>
      <c r="Q607">
        <v>0</v>
      </c>
      <c r="R607">
        <v>1</v>
      </c>
    </row>
    <row r="608" spans="1:18" x14ac:dyDescent="0.3">
      <c r="A608">
        <v>607</v>
      </c>
      <c r="B608" t="s">
        <v>814</v>
      </c>
      <c r="C608" t="s">
        <v>815</v>
      </c>
      <c r="D608" t="str">
        <f>_xlfn.CONCAT(EmpTable[[#This Row],[First Name]],EmpTable[[#This Row],[Last Name]])</f>
        <v>RafifKhalf</v>
      </c>
      <c r="E608" t="s">
        <v>307</v>
      </c>
      <c r="F608" s="1">
        <v>43592</v>
      </c>
      <c r="G608" s="2">
        <f ca="1">DATEDIF(EmpTable[[#This Row],[Start Date]],TODAY(),"Y")</f>
        <v>6</v>
      </c>
      <c r="H608" s="2" t="str" cm="1">
        <f t="array" aca="1" ref="H608" ca="1">_xlfn.IFS(G608&lt;=1,"Fresh",G608&lt;=3,"Junior",G608&lt;=7,"Teamlead",G608&gt;=7,"manger")</f>
        <v>Teamlead</v>
      </c>
      <c r="I608" t="s">
        <v>77</v>
      </c>
      <c r="J608" t="s">
        <v>48</v>
      </c>
      <c r="K608" t="s">
        <v>19</v>
      </c>
      <c r="L608">
        <v>3152</v>
      </c>
      <c r="M608">
        <v>37824</v>
      </c>
      <c r="N608">
        <v>5</v>
      </c>
      <c r="O608" t="str" cm="1">
        <f t="array" ref="O608">_xlfn.IFS(EmpTable[[#This Row],[Job Rate]] &lt;=1,"LOW",N608&lt;=2,"LOW",N608&lt;=3,"MEDIUM",N608&gt;4,"HIGH")</f>
        <v>HIGH</v>
      </c>
      <c r="P608">
        <v>0</v>
      </c>
      <c r="Q608">
        <v>0</v>
      </c>
      <c r="R608">
        <v>8</v>
      </c>
    </row>
    <row r="609" spans="1:18" x14ac:dyDescent="0.3">
      <c r="A609">
        <v>608</v>
      </c>
      <c r="B609" t="s">
        <v>33</v>
      </c>
      <c r="C609" t="s">
        <v>167</v>
      </c>
      <c r="D609" t="str">
        <f>_xlfn.CONCAT(EmpTable[[#This Row],[First Name]],EmpTable[[#This Row],[Last Name]])</f>
        <v>MuhamadAlkhatib</v>
      </c>
      <c r="E609" t="s">
        <v>32</v>
      </c>
      <c r="F609" s="1">
        <v>44097</v>
      </c>
      <c r="G609" s="2">
        <f ca="1">DATEDIF(EmpTable[[#This Row],[Start Date]],TODAY(),"Y")</f>
        <v>5</v>
      </c>
      <c r="H609" s="2" t="str" cm="1">
        <f t="array" aca="1" ref="H609" ca="1">_xlfn.IFS(G609&lt;=1,"Fresh",G609&lt;=3,"Junior",G609&lt;=7,"Teamlead",G609&gt;=7,"manger")</f>
        <v>Teamlead</v>
      </c>
      <c r="I609" t="s">
        <v>41</v>
      </c>
      <c r="J609" t="s">
        <v>29</v>
      </c>
      <c r="K609" t="s">
        <v>898</v>
      </c>
      <c r="L609">
        <v>2655</v>
      </c>
      <c r="M609">
        <v>31860</v>
      </c>
      <c r="N609">
        <v>5</v>
      </c>
      <c r="O609" t="str" cm="1">
        <f t="array" ref="O609">_xlfn.IFS(EmpTable[[#This Row],[Job Rate]] &lt;=1,"LOW",N609&lt;=2,"LOW",N609&lt;=3,"MEDIUM",N609&gt;4,"HIGH")</f>
        <v>HIGH</v>
      </c>
      <c r="P609">
        <v>0</v>
      </c>
      <c r="Q609">
        <v>0</v>
      </c>
      <c r="R609">
        <v>6</v>
      </c>
    </row>
    <row r="610" spans="1:18" x14ac:dyDescent="0.3">
      <c r="A610">
        <v>609</v>
      </c>
      <c r="B610" t="s">
        <v>33</v>
      </c>
      <c r="C610" t="s">
        <v>816</v>
      </c>
      <c r="D610" t="str">
        <f>_xlfn.CONCAT(EmpTable[[#This Row],[First Name]],EmpTable[[#This Row],[Last Name]])</f>
        <v>MuhamadAlbarnawi</v>
      </c>
      <c r="E610" t="s">
        <v>32</v>
      </c>
      <c r="F610" s="1">
        <v>42412</v>
      </c>
      <c r="G610" s="2">
        <f ca="1">DATEDIF(EmpTable[[#This Row],[Start Date]],TODAY(),"Y")</f>
        <v>10</v>
      </c>
      <c r="H610" s="2" t="str" cm="1">
        <f t="array" aca="1" ref="H610" ca="1">_xlfn.IFS(G610&lt;=1,"Fresh",G610&lt;=3,"Junior",G610&lt;=7,"Teamlead",G610&gt;=7,"manger")</f>
        <v>manger</v>
      </c>
      <c r="I610" t="s">
        <v>73</v>
      </c>
      <c r="J610" t="s">
        <v>18</v>
      </c>
      <c r="K610" t="s">
        <v>60</v>
      </c>
      <c r="L610">
        <v>1405</v>
      </c>
      <c r="M610">
        <v>16860</v>
      </c>
      <c r="N610">
        <v>5</v>
      </c>
      <c r="O610" t="str" cm="1">
        <f t="array" ref="O610">_xlfn.IFS(EmpTable[[#This Row],[Job Rate]] &lt;=1,"LOW",N610&lt;=2,"LOW",N610&lt;=3,"MEDIUM",N610&gt;4,"HIGH")</f>
        <v>HIGH</v>
      </c>
      <c r="P610">
        <v>6</v>
      </c>
      <c r="Q610">
        <v>0</v>
      </c>
      <c r="R610">
        <v>10</v>
      </c>
    </row>
    <row r="611" spans="1:18" x14ac:dyDescent="0.3">
      <c r="A611">
        <v>610</v>
      </c>
      <c r="B611" t="s">
        <v>186</v>
      </c>
      <c r="C611" t="s">
        <v>817</v>
      </c>
      <c r="D611" t="str">
        <f>_xlfn.CONCAT(EmpTable[[#This Row],[First Name]],EmpTable[[#This Row],[Last Name]])</f>
        <v>AliAlmiqdad</v>
      </c>
      <c r="E611" t="s">
        <v>32</v>
      </c>
      <c r="F611" s="1">
        <v>43234</v>
      </c>
      <c r="G611" s="2">
        <f ca="1">DATEDIF(EmpTable[[#This Row],[Start Date]],TODAY(),"Y")</f>
        <v>7</v>
      </c>
      <c r="H611" s="2" t="str" cm="1">
        <f t="array" aca="1" ref="H611" ca="1">_xlfn.IFS(G611&lt;=1,"Fresh",G611&lt;=3,"Junior",G611&lt;=7,"Teamlead",G611&gt;=7,"manger")</f>
        <v>Teamlead</v>
      </c>
      <c r="I611" t="s">
        <v>28</v>
      </c>
      <c r="J611" t="s">
        <v>18</v>
      </c>
      <c r="K611" t="s">
        <v>36</v>
      </c>
      <c r="L611">
        <v>3100</v>
      </c>
      <c r="M611">
        <v>37200</v>
      </c>
      <c r="N611">
        <v>5</v>
      </c>
      <c r="O611" t="str" cm="1">
        <f t="array" ref="O611">_xlfn.IFS(EmpTable[[#This Row],[Job Rate]] &lt;=1,"LOW",N611&lt;=2,"LOW",N611&lt;=3,"MEDIUM",N611&gt;4,"HIGH")</f>
        <v>HIGH</v>
      </c>
      <c r="P611">
        <v>0</v>
      </c>
      <c r="Q611">
        <v>0</v>
      </c>
      <c r="R611">
        <v>7</v>
      </c>
    </row>
    <row r="612" spans="1:18" x14ac:dyDescent="0.3">
      <c r="A612">
        <v>611</v>
      </c>
      <c r="B612" t="s">
        <v>206</v>
      </c>
      <c r="C612" t="s">
        <v>818</v>
      </c>
      <c r="D612" t="str">
        <f>_xlfn.CONCAT(EmpTable[[#This Row],[First Name]],EmpTable[[#This Row],[Last Name]])</f>
        <v>RanyaFaris</v>
      </c>
      <c r="E612" t="s">
        <v>307</v>
      </c>
      <c r="F612" s="1">
        <v>42947</v>
      </c>
      <c r="G612" s="2">
        <f ca="1">DATEDIF(EmpTable[[#This Row],[Start Date]],TODAY(),"Y")</f>
        <v>8</v>
      </c>
      <c r="H612" s="2" t="str" cm="1">
        <f t="array" aca="1" ref="H612" ca="1">_xlfn.IFS(G612&lt;=1,"Fresh",G612&lt;=3,"Junior",G612&lt;=7,"Teamlead",G612&gt;=7,"manger")</f>
        <v>manger</v>
      </c>
      <c r="I612" t="s">
        <v>28</v>
      </c>
      <c r="J612" t="s">
        <v>29</v>
      </c>
      <c r="K612" t="s">
        <v>898</v>
      </c>
      <c r="L612">
        <v>2729</v>
      </c>
      <c r="M612">
        <v>32748</v>
      </c>
      <c r="N612">
        <v>4.5</v>
      </c>
      <c r="O612" t="str" cm="1">
        <f t="array" ref="O612">_xlfn.IFS(EmpTable[[#This Row],[Job Rate]] &lt;=1,"LOW",N612&lt;=2,"LOW",N612&lt;=3,"MEDIUM",N612&gt;4,"HIGH")</f>
        <v>HIGH</v>
      </c>
      <c r="P612">
        <v>0</v>
      </c>
      <c r="Q612">
        <v>0</v>
      </c>
      <c r="R612">
        <v>6</v>
      </c>
    </row>
    <row r="613" spans="1:18" x14ac:dyDescent="0.3">
      <c r="A613">
        <v>612</v>
      </c>
      <c r="B613" t="s">
        <v>186</v>
      </c>
      <c r="C613" t="s">
        <v>350</v>
      </c>
      <c r="D613" t="str">
        <f>_xlfn.CONCAT(EmpTable[[#This Row],[First Name]],EmpTable[[#This Row],[Last Name]])</f>
        <v>AliAlshaykh</v>
      </c>
      <c r="E613" t="s">
        <v>32</v>
      </c>
      <c r="F613" s="1">
        <v>43290</v>
      </c>
      <c r="G613" s="2">
        <f ca="1">DATEDIF(EmpTable[[#This Row],[Start Date]],TODAY(),"Y")</f>
        <v>7</v>
      </c>
      <c r="H613" s="2" t="str" cm="1">
        <f t="array" aca="1" ref="H613" ca="1">_xlfn.IFS(G613&lt;=1,"Fresh",G613&lt;=3,"Junior",G613&lt;=7,"Teamlead",G613&gt;=7,"manger")</f>
        <v>Teamlead</v>
      </c>
      <c r="I613" t="s">
        <v>58</v>
      </c>
      <c r="J613" t="s">
        <v>18</v>
      </c>
      <c r="K613" t="s">
        <v>42</v>
      </c>
      <c r="L613">
        <v>1467</v>
      </c>
      <c r="M613">
        <v>17604</v>
      </c>
      <c r="N613">
        <v>5</v>
      </c>
      <c r="O613" t="str" cm="1">
        <f t="array" ref="O613">_xlfn.IFS(EmpTable[[#This Row],[Job Rate]] &lt;=1,"LOW",N613&lt;=2,"LOW",N613&lt;=3,"MEDIUM",N613&gt;4,"HIGH")</f>
        <v>HIGH</v>
      </c>
      <c r="P613">
        <v>0</v>
      </c>
      <c r="Q613">
        <v>0</v>
      </c>
      <c r="R613">
        <v>7</v>
      </c>
    </row>
    <row r="614" spans="1:18" x14ac:dyDescent="0.3">
      <c r="A614">
        <v>613</v>
      </c>
      <c r="B614" t="s">
        <v>37</v>
      </c>
      <c r="C614" t="s">
        <v>819</v>
      </c>
      <c r="D614" t="str">
        <f>_xlfn.CONCAT(EmpTable[[#This Row],[First Name]],EmpTable[[#This Row],[Last Name]])</f>
        <v>IinKafa</v>
      </c>
      <c r="E614" t="s">
        <v>307</v>
      </c>
      <c r="F614" s="1">
        <v>42791</v>
      </c>
      <c r="G614" s="2">
        <f ca="1">DATEDIF(EmpTable[[#This Row],[Start Date]],TODAY(),"Y")</f>
        <v>9</v>
      </c>
      <c r="H614" s="2" t="str" cm="1">
        <f t="array" aca="1" ref="H614" ca="1">_xlfn.IFS(G614&lt;=1,"Fresh",G614&lt;=3,"Junior",G614&lt;=7,"Teamlead",G614&gt;=7,"manger")</f>
        <v>manger</v>
      </c>
      <c r="I614" t="s">
        <v>28</v>
      </c>
      <c r="J614" t="s">
        <v>22</v>
      </c>
      <c r="K614" t="s">
        <v>42</v>
      </c>
      <c r="L614">
        <v>1612</v>
      </c>
      <c r="M614">
        <v>19344</v>
      </c>
      <c r="N614">
        <v>5</v>
      </c>
      <c r="O614" t="str" cm="1">
        <f t="array" ref="O614">_xlfn.IFS(EmpTable[[#This Row],[Job Rate]] &lt;=1,"LOW",N614&lt;=2,"LOW",N614&lt;=3,"MEDIUM",N614&gt;4,"HIGH")</f>
        <v>HIGH</v>
      </c>
      <c r="P614">
        <v>0</v>
      </c>
      <c r="Q614">
        <v>0</v>
      </c>
      <c r="R614">
        <v>4</v>
      </c>
    </row>
    <row r="615" spans="1:18" x14ac:dyDescent="0.3">
      <c r="A615">
        <v>614</v>
      </c>
      <c r="B615" t="s">
        <v>33</v>
      </c>
      <c r="C615" t="s">
        <v>820</v>
      </c>
      <c r="D615" t="str">
        <f>_xlfn.CONCAT(EmpTable[[#This Row],[First Name]],EmpTable[[#This Row],[Last Name]])</f>
        <v>MuhamadAlmaghribi</v>
      </c>
      <c r="E615" t="s">
        <v>32</v>
      </c>
      <c r="F615" s="1">
        <v>43574</v>
      </c>
      <c r="G615" s="2">
        <f ca="1">DATEDIF(EmpTable[[#This Row],[Start Date]],TODAY(),"Y")</f>
        <v>6</v>
      </c>
      <c r="H615" s="2" t="str" cm="1">
        <f t="array" aca="1" ref="H615" ca="1">_xlfn.IFS(G615&lt;=1,"Fresh",G615&lt;=3,"Junior",G615&lt;=7,"Teamlead",G615&gt;=7,"manger")</f>
        <v>Teamlead</v>
      </c>
      <c r="I615" t="s">
        <v>17</v>
      </c>
      <c r="J615" t="s">
        <v>18</v>
      </c>
      <c r="K615" t="s">
        <v>42</v>
      </c>
      <c r="L615">
        <v>2901</v>
      </c>
      <c r="M615">
        <v>34812</v>
      </c>
      <c r="N615">
        <v>5</v>
      </c>
      <c r="O615" t="str" cm="1">
        <f t="array" ref="O615">_xlfn.IFS(EmpTable[[#This Row],[Job Rate]] &lt;=1,"LOW",N615&lt;=2,"LOW",N615&lt;=3,"MEDIUM",N615&gt;4,"HIGH")</f>
        <v>HIGH</v>
      </c>
      <c r="P615">
        <v>0</v>
      </c>
      <c r="Q615">
        <v>0</v>
      </c>
      <c r="R615">
        <v>6</v>
      </c>
    </row>
    <row r="616" spans="1:18" x14ac:dyDescent="0.3">
      <c r="A616">
        <v>615</v>
      </c>
      <c r="B616" t="s">
        <v>116</v>
      </c>
      <c r="C616" t="s">
        <v>821</v>
      </c>
      <c r="D616" t="str">
        <f>_xlfn.CONCAT(EmpTable[[#This Row],[First Name]],EmpTable[[#This Row],[Last Name]])</f>
        <v>SamiAldrwysh</v>
      </c>
      <c r="E616" t="s">
        <v>32</v>
      </c>
      <c r="F616" s="1">
        <v>42952</v>
      </c>
      <c r="G616" s="2">
        <f ca="1">DATEDIF(EmpTable[[#This Row],[Start Date]],TODAY(),"Y")</f>
        <v>8</v>
      </c>
      <c r="H616" s="2" t="str" cm="1">
        <f t="array" aca="1" ref="H616" ca="1">_xlfn.IFS(G616&lt;=1,"Fresh",G616&lt;=3,"Junior",G616&lt;=7,"Teamlead",G616&gt;=7,"manger")</f>
        <v>manger</v>
      </c>
      <c r="I616" t="s">
        <v>163</v>
      </c>
      <c r="J616" t="s">
        <v>18</v>
      </c>
      <c r="K616" t="s">
        <v>42</v>
      </c>
      <c r="L616">
        <v>1999</v>
      </c>
      <c r="M616">
        <v>23988</v>
      </c>
      <c r="N616">
        <v>3</v>
      </c>
      <c r="O616" t="str" cm="1">
        <f t="array" ref="O616">_xlfn.IFS(EmpTable[[#This Row],[Job Rate]] &lt;=1,"LOW",N616&lt;=2,"LOW",N616&lt;=3,"MEDIUM",N616&gt;4,"HIGH")</f>
        <v>MEDIUM</v>
      </c>
      <c r="P616">
        <v>0</v>
      </c>
      <c r="Q616">
        <v>0</v>
      </c>
      <c r="R616">
        <v>4</v>
      </c>
    </row>
    <row r="617" spans="1:18" x14ac:dyDescent="0.3">
      <c r="A617">
        <v>616</v>
      </c>
      <c r="B617" t="s">
        <v>184</v>
      </c>
      <c r="C617" t="s">
        <v>167</v>
      </c>
      <c r="D617" t="str">
        <f>_xlfn.CONCAT(EmpTable[[#This Row],[First Name]],EmpTable[[#This Row],[Last Name]])</f>
        <v>SamahAlkhatib</v>
      </c>
      <c r="E617" t="s">
        <v>307</v>
      </c>
      <c r="F617" s="1">
        <v>43239</v>
      </c>
      <c r="G617" s="2">
        <f ca="1">DATEDIF(EmpTable[[#This Row],[Start Date]],TODAY(),"Y")</f>
        <v>7</v>
      </c>
      <c r="H617" s="2" t="str" cm="1">
        <f t="array" aca="1" ref="H617" ca="1">_xlfn.IFS(G617&lt;=1,"Fresh",G617&lt;=3,"Junior",G617&lt;=7,"Teamlead",G617&gt;=7,"manger")</f>
        <v>Teamlead</v>
      </c>
      <c r="I617" t="s">
        <v>41</v>
      </c>
      <c r="J617" t="s">
        <v>22</v>
      </c>
      <c r="K617" t="s">
        <v>36</v>
      </c>
      <c r="L617">
        <v>705</v>
      </c>
      <c r="M617">
        <v>8460</v>
      </c>
      <c r="N617">
        <v>3</v>
      </c>
      <c r="O617" t="str" cm="1">
        <f t="array" ref="O617">_xlfn.IFS(EmpTable[[#This Row],[Job Rate]] &lt;=1,"LOW",N617&lt;=2,"LOW",N617&lt;=3,"MEDIUM",N617&gt;4,"HIGH")</f>
        <v>MEDIUM</v>
      </c>
      <c r="P617">
        <v>6</v>
      </c>
      <c r="Q617">
        <v>0</v>
      </c>
      <c r="R617">
        <v>8</v>
      </c>
    </row>
    <row r="618" spans="1:18" x14ac:dyDescent="0.3">
      <c r="A618">
        <v>617</v>
      </c>
      <c r="B618" t="s">
        <v>89</v>
      </c>
      <c r="C618" t="s">
        <v>822</v>
      </c>
      <c r="D618" t="str">
        <f>_xlfn.CONCAT(EmpTable[[#This Row],[First Name]],EmpTable[[#This Row],[Last Name]])</f>
        <v>EalaHatim</v>
      </c>
      <c r="E618" t="s">
        <v>307</v>
      </c>
      <c r="F618" s="1">
        <v>43737</v>
      </c>
      <c r="G618" s="2">
        <f ca="1">DATEDIF(EmpTable[[#This Row],[Start Date]],TODAY(),"Y")</f>
        <v>6</v>
      </c>
      <c r="H618" s="2" t="str" cm="1">
        <f t="array" aca="1" ref="H618" ca="1">_xlfn.IFS(G618&lt;=1,"Fresh",G618&lt;=3,"Junior",G618&lt;=7,"Teamlead",G618&gt;=7,"manger")</f>
        <v>Teamlead</v>
      </c>
      <c r="I618" t="s">
        <v>39</v>
      </c>
      <c r="J618" t="s">
        <v>18</v>
      </c>
      <c r="K618" t="s">
        <v>36</v>
      </c>
      <c r="L618">
        <v>3311</v>
      </c>
      <c r="M618">
        <v>39732</v>
      </c>
      <c r="N618">
        <v>4.5</v>
      </c>
      <c r="O618" t="str" cm="1">
        <f t="array" ref="O618">_xlfn.IFS(EmpTable[[#This Row],[Job Rate]] &lt;=1,"LOW",N618&lt;=2,"LOW",N618&lt;=3,"MEDIUM",N618&gt;4,"HIGH")</f>
        <v>HIGH</v>
      </c>
      <c r="P618">
        <v>0</v>
      </c>
      <c r="Q618">
        <v>0</v>
      </c>
      <c r="R618">
        <v>1</v>
      </c>
    </row>
    <row r="619" spans="1:18" x14ac:dyDescent="0.3">
      <c r="A619">
        <v>618</v>
      </c>
      <c r="B619" t="s">
        <v>539</v>
      </c>
      <c r="C619" t="s">
        <v>823</v>
      </c>
      <c r="D619" t="str">
        <f>_xlfn.CONCAT(EmpTable[[#This Row],[First Name]],EmpTable[[#This Row],[Last Name]])</f>
        <v>DaliaNahlawi</v>
      </c>
      <c r="E619" t="s">
        <v>307</v>
      </c>
      <c r="F619" s="1">
        <v>43107</v>
      </c>
      <c r="G619" s="2">
        <f ca="1">DATEDIF(EmpTable[[#This Row],[Start Date]],TODAY(),"Y")</f>
        <v>8</v>
      </c>
      <c r="H619" s="2" t="str" cm="1">
        <f t="array" aca="1" ref="H619" ca="1">_xlfn.IFS(G619&lt;=1,"Fresh",G619&lt;=3,"Junior",G619&lt;=7,"Teamlead",G619&gt;=7,"manger")</f>
        <v>manger</v>
      </c>
      <c r="I619" t="s">
        <v>28</v>
      </c>
      <c r="J619" t="s">
        <v>18</v>
      </c>
      <c r="K619" t="s">
        <v>19</v>
      </c>
      <c r="L619">
        <v>2516</v>
      </c>
      <c r="M619">
        <v>30192</v>
      </c>
      <c r="N619">
        <v>3</v>
      </c>
      <c r="O619" t="str" cm="1">
        <f t="array" ref="O619">_xlfn.IFS(EmpTable[[#This Row],[Job Rate]] &lt;=1,"LOW",N619&lt;=2,"LOW",N619&lt;=3,"MEDIUM",N619&gt;4,"HIGH")</f>
        <v>MEDIUM</v>
      </c>
      <c r="P619">
        <v>6</v>
      </c>
      <c r="Q619">
        <v>0</v>
      </c>
      <c r="R619">
        <v>3</v>
      </c>
    </row>
    <row r="620" spans="1:18" x14ac:dyDescent="0.3">
      <c r="A620">
        <v>619</v>
      </c>
      <c r="B620" t="s">
        <v>824</v>
      </c>
      <c r="C620" t="s">
        <v>825</v>
      </c>
      <c r="D620" t="str">
        <f>_xlfn.CONCAT(EmpTable[[#This Row],[First Name]],EmpTable[[#This Row],[Last Name]])</f>
        <v>Rabye'Alzrqawy</v>
      </c>
      <c r="E620" t="s">
        <v>32</v>
      </c>
      <c r="F620" s="1">
        <v>43742</v>
      </c>
      <c r="G620" s="2">
        <f ca="1">DATEDIF(EmpTable[[#This Row],[Start Date]],TODAY(),"Y")</f>
        <v>6</v>
      </c>
      <c r="H620" s="2" t="str" cm="1">
        <f t="array" aca="1" ref="H620" ca="1">_xlfn.IFS(G620&lt;=1,"Fresh",G620&lt;=3,"Junior",G620&lt;=7,"Teamlead",G620&gt;=7,"manger")</f>
        <v>Teamlead</v>
      </c>
      <c r="I620" t="s">
        <v>41</v>
      </c>
      <c r="J620" t="s">
        <v>22</v>
      </c>
      <c r="K620" t="s">
        <v>36</v>
      </c>
      <c r="L620">
        <v>2000</v>
      </c>
      <c r="M620">
        <v>24000</v>
      </c>
      <c r="N620">
        <v>3</v>
      </c>
      <c r="O620" t="str" cm="1">
        <f t="array" ref="O620">_xlfn.IFS(EmpTable[[#This Row],[Job Rate]] &lt;=1,"LOW",N620&lt;=2,"LOW",N620&lt;=3,"MEDIUM",N620&gt;4,"HIGH")</f>
        <v>MEDIUM</v>
      </c>
      <c r="P620">
        <v>1</v>
      </c>
      <c r="Q620">
        <v>0</v>
      </c>
      <c r="R620">
        <v>0</v>
      </c>
    </row>
    <row r="621" spans="1:18" x14ac:dyDescent="0.3">
      <c r="A621">
        <v>620</v>
      </c>
      <c r="B621" t="s">
        <v>489</v>
      </c>
      <c r="C621" t="s">
        <v>826</v>
      </c>
      <c r="D621" t="str">
        <f>_xlfn.CONCAT(EmpTable[[#This Row],[First Name]],EmpTable[[#This Row],[Last Name]])</f>
        <v>KholoudHuquq</v>
      </c>
      <c r="E621" t="s">
        <v>307</v>
      </c>
      <c r="F621" s="1">
        <v>43735</v>
      </c>
      <c r="G621" s="2">
        <f ca="1">DATEDIF(EmpTable[[#This Row],[Start Date]],TODAY(),"Y")</f>
        <v>6</v>
      </c>
      <c r="H621" s="2" t="str" cm="1">
        <f t="array" aca="1" ref="H621" ca="1">_xlfn.IFS(G621&lt;=1,"Fresh",G621&lt;=3,"Junior",G621&lt;=7,"Teamlead",G621&gt;=7,"manger")</f>
        <v>Teamlead</v>
      </c>
      <c r="I621" t="s">
        <v>53</v>
      </c>
      <c r="J621" t="s">
        <v>29</v>
      </c>
      <c r="K621" t="s">
        <v>60</v>
      </c>
      <c r="L621">
        <v>2860</v>
      </c>
      <c r="M621">
        <v>34320</v>
      </c>
      <c r="N621">
        <v>3</v>
      </c>
      <c r="O621" t="str" cm="1">
        <f t="array" ref="O621">_xlfn.IFS(EmpTable[[#This Row],[Job Rate]] &lt;=1,"LOW",N621&lt;=2,"LOW",N621&lt;=3,"MEDIUM",N621&gt;4,"HIGH")</f>
        <v>MEDIUM</v>
      </c>
      <c r="P621">
        <v>0</v>
      </c>
      <c r="Q621">
        <v>6</v>
      </c>
      <c r="R621">
        <v>7</v>
      </c>
    </row>
    <row r="622" spans="1:18" x14ac:dyDescent="0.3">
      <c r="A622">
        <v>621</v>
      </c>
      <c r="B622" t="s">
        <v>146</v>
      </c>
      <c r="C622" t="s">
        <v>827</v>
      </c>
      <c r="D622" t="str">
        <f>_xlfn.CONCAT(EmpTable[[#This Row],[First Name]],EmpTable[[#This Row],[Last Name]])</f>
        <v>IbrahimAlqatish</v>
      </c>
      <c r="E622" t="s">
        <v>32</v>
      </c>
      <c r="F622" s="1">
        <v>43557</v>
      </c>
      <c r="G622" s="2">
        <f ca="1">DATEDIF(EmpTable[[#This Row],[Start Date]],TODAY(),"Y")</f>
        <v>6</v>
      </c>
      <c r="H622" s="2" t="str" cm="1">
        <f t="array" aca="1" ref="H622" ca="1">_xlfn.IFS(G622&lt;=1,"Fresh",G622&lt;=3,"Junior",G622&lt;=7,"Teamlead",G622&gt;=7,"manger")</f>
        <v>Teamlead</v>
      </c>
      <c r="I622" t="s">
        <v>17</v>
      </c>
      <c r="J622" t="s">
        <v>18</v>
      </c>
      <c r="K622" t="s">
        <v>898</v>
      </c>
      <c r="L622">
        <v>943</v>
      </c>
      <c r="M622">
        <v>11316</v>
      </c>
      <c r="N622">
        <v>4.5</v>
      </c>
      <c r="O622" t="str" cm="1">
        <f t="array" ref="O622">_xlfn.IFS(EmpTable[[#This Row],[Job Rate]] &lt;=1,"LOW",N622&lt;=2,"LOW",N622&lt;=3,"MEDIUM",N622&gt;4,"HIGH")</f>
        <v>HIGH</v>
      </c>
      <c r="P622">
        <v>0</v>
      </c>
      <c r="Q622">
        <v>0</v>
      </c>
      <c r="R622">
        <v>1</v>
      </c>
    </row>
    <row r="623" spans="1:18" x14ac:dyDescent="0.3">
      <c r="A623">
        <v>622</v>
      </c>
      <c r="B623" t="s">
        <v>341</v>
      </c>
      <c r="C623" t="s">
        <v>828</v>
      </c>
      <c r="D623" t="str">
        <f>_xlfn.CONCAT(EmpTable[[#This Row],[First Name]],EmpTable[[#This Row],[Last Name]])</f>
        <v>SalihAltawil</v>
      </c>
      <c r="E623" t="s">
        <v>32</v>
      </c>
      <c r="F623" s="1">
        <v>43720</v>
      </c>
      <c r="G623" s="2">
        <f ca="1">DATEDIF(EmpTable[[#This Row],[Start Date]],TODAY(),"Y")</f>
        <v>6</v>
      </c>
      <c r="H623" s="2" t="str" cm="1">
        <f t="array" aca="1" ref="H623" ca="1">_xlfn.IFS(G623&lt;=1,"Fresh",G623&lt;=3,"Junior",G623&lt;=7,"Teamlead",G623&gt;=7,"manger")</f>
        <v>Teamlead</v>
      </c>
      <c r="I623" t="s">
        <v>17</v>
      </c>
      <c r="J623" t="s">
        <v>48</v>
      </c>
      <c r="K623" t="s">
        <v>42</v>
      </c>
      <c r="L623">
        <v>1018</v>
      </c>
      <c r="M623">
        <v>12216</v>
      </c>
      <c r="N623">
        <v>2</v>
      </c>
      <c r="O623" t="str" cm="1">
        <f t="array" ref="O623">_xlfn.IFS(EmpTable[[#This Row],[Job Rate]] &lt;=1,"LOW",N623&lt;=2,"LOW",N623&lt;=3,"MEDIUM",N623&gt;4,"HIGH")</f>
        <v>LOW</v>
      </c>
      <c r="P623">
        <v>5</v>
      </c>
      <c r="Q623">
        <v>0</v>
      </c>
      <c r="R623">
        <v>10</v>
      </c>
    </row>
    <row r="624" spans="1:18" x14ac:dyDescent="0.3">
      <c r="A624">
        <v>623</v>
      </c>
      <c r="B624" t="s">
        <v>116</v>
      </c>
      <c r="C624" t="s">
        <v>829</v>
      </c>
      <c r="D624" t="str">
        <f>_xlfn.CONCAT(EmpTable[[#This Row],[First Name]],EmpTable[[#This Row],[Last Name]])</f>
        <v>SamiAlsyd Ahmad</v>
      </c>
      <c r="E624" t="s">
        <v>32</v>
      </c>
      <c r="F624" s="1">
        <v>43502</v>
      </c>
      <c r="G624" s="2">
        <f ca="1">DATEDIF(EmpTable[[#This Row],[Start Date]],TODAY(),"Y")</f>
        <v>7</v>
      </c>
      <c r="H624" s="2" t="str" cm="1">
        <f t="array" aca="1" ref="H624" ca="1">_xlfn.IFS(G624&lt;=1,"Fresh",G624&lt;=3,"Junior",G624&lt;=7,"Teamlead",G624&gt;=7,"manger")</f>
        <v>Teamlead</v>
      </c>
      <c r="I624" t="s">
        <v>17</v>
      </c>
      <c r="J624" t="s">
        <v>18</v>
      </c>
      <c r="K624" t="s">
        <v>60</v>
      </c>
      <c r="L624">
        <v>1835</v>
      </c>
      <c r="M624">
        <v>22020</v>
      </c>
      <c r="N624">
        <v>3</v>
      </c>
      <c r="O624" t="str" cm="1">
        <f t="array" ref="O624">_xlfn.IFS(EmpTable[[#This Row],[Job Rate]] &lt;=1,"LOW",N624&lt;=2,"LOW",N624&lt;=3,"MEDIUM",N624&gt;4,"HIGH")</f>
        <v>MEDIUM</v>
      </c>
      <c r="P624">
        <v>1</v>
      </c>
      <c r="Q624">
        <v>0</v>
      </c>
      <c r="R624">
        <v>50</v>
      </c>
    </row>
    <row r="625" spans="1:18" x14ac:dyDescent="0.3">
      <c r="A625">
        <v>624</v>
      </c>
      <c r="B625" t="s">
        <v>373</v>
      </c>
      <c r="C625" t="s">
        <v>830</v>
      </c>
      <c r="D625" t="str">
        <f>_xlfn.CONCAT(EmpTable[[#This Row],[First Name]],EmpTable[[#This Row],[Last Name]])</f>
        <v>ZahirAleitar</v>
      </c>
      <c r="E625" t="s">
        <v>32</v>
      </c>
      <c r="F625" s="1">
        <v>43348</v>
      </c>
      <c r="G625" s="2">
        <f ca="1">DATEDIF(EmpTable[[#This Row],[Start Date]],TODAY(),"Y")</f>
        <v>7</v>
      </c>
      <c r="H625" s="2" t="str" cm="1">
        <f t="array" aca="1" ref="H625" ca="1">_xlfn.IFS(G625&lt;=1,"Fresh",G625&lt;=3,"Junior",G625&lt;=7,"Teamlead",G625&gt;=7,"manger")</f>
        <v>Teamlead</v>
      </c>
      <c r="I625" t="s">
        <v>77</v>
      </c>
      <c r="J625" t="s">
        <v>48</v>
      </c>
      <c r="K625" t="s">
        <v>19</v>
      </c>
      <c r="L625">
        <v>2192</v>
      </c>
      <c r="M625">
        <v>26304</v>
      </c>
      <c r="N625">
        <v>4.5</v>
      </c>
      <c r="O625" t="str" cm="1">
        <f t="array" ref="O625">_xlfn.IFS(EmpTable[[#This Row],[Job Rate]] &lt;=1,"LOW",N625&lt;=2,"LOW",N625&lt;=3,"MEDIUM",N625&gt;4,"HIGH")</f>
        <v>HIGH</v>
      </c>
      <c r="P625">
        <v>0</v>
      </c>
      <c r="Q625">
        <v>4</v>
      </c>
      <c r="R625">
        <v>1</v>
      </c>
    </row>
    <row r="626" spans="1:18" x14ac:dyDescent="0.3">
      <c r="A626">
        <v>625</v>
      </c>
      <c r="B626" t="s">
        <v>831</v>
      </c>
      <c r="C626" t="s">
        <v>832</v>
      </c>
      <c r="D626" t="str">
        <f>_xlfn.CONCAT(EmpTable[[#This Row],[First Name]],EmpTable[[#This Row],[Last Name]])</f>
        <v>FatirAlealiu</v>
      </c>
      <c r="E626" t="s">
        <v>32</v>
      </c>
      <c r="F626" s="1">
        <v>43641</v>
      </c>
      <c r="G626" s="2">
        <f ca="1">DATEDIF(EmpTable[[#This Row],[Start Date]],TODAY(),"Y")</f>
        <v>6</v>
      </c>
      <c r="H626" s="2" t="str" cm="1">
        <f t="array" aca="1" ref="H626" ca="1">_xlfn.IFS(G626&lt;=1,"Fresh",G626&lt;=3,"Junior",G626&lt;=7,"Teamlead",G626&gt;=7,"manger")</f>
        <v>Teamlead</v>
      </c>
      <c r="I626" t="s">
        <v>28</v>
      </c>
      <c r="J626" t="s">
        <v>18</v>
      </c>
      <c r="K626" t="s">
        <v>42</v>
      </c>
      <c r="L626">
        <v>2875</v>
      </c>
      <c r="M626">
        <v>34500</v>
      </c>
      <c r="N626">
        <v>3</v>
      </c>
      <c r="O626" t="str" cm="1">
        <f t="array" ref="O626">_xlfn.IFS(EmpTable[[#This Row],[Job Rate]] &lt;=1,"LOW",N626&lt;=2,"LOW",N626&lt;=3,"MEDIUM",N626&gt;4,"HIGH")</f>
        <v>MEDIUM</v>
      </c>
      <c r="P626">
        <v>0</v>
      </c>
      <c r="Q626">
        <v>0</v>
      </c>
      <c r="R626">
        <v>4</v>
      </c>
    </row>
    <row r="627" spans="1:18" x14ac:dyDescent="0.3">
      <c r="A627">
        <v>626</v>
      </c>
      <c r="B627" t="s">
        <v>69</v>
      </c>
      <c r="C627" t="s">
        <v>832</v>
      </c>
      <c r="D627" t="str">
        <f>_xlfn.CONCAT(EmpTable[[#This Row],[First Name]],EmpTable[[#This Row],[Last Name]])</f>
        <v>SamirAlealiu</v>
      </c>
      <c r="E627" t="s">
        <v>32</v>
      </c>
      <c r="F627" s="1">
        <v>43737</v>
      </c>
      <c r="G627" s="2">
        <f ca="1">DATEDIF(EmpTable[[#This Row],[Start Date]],TODAY(),"Y")</f>
        <v>6</v>
      </c>
      <c r="H627" s="2" t="str" cm="1">
        <f t="array" aca="1" ref="H627" ca="1">_xlfn.IFS(G627&lt;=1,"Fresh",G627&lt;=3,"Junior",G627&lt;=7,"Teamlead",G627&gt;=7,"manger")</f>
        <v>Teamlead</v>
      </c>
      <c r="I627" t="s">
        <v>58</v>
      </c>
      <c r="J627" t="s">
        <v>22</v>
      </c>
      <c r="K627" t="s">
        <v>19</v>
      </c>
      <c r="L627">
        <v>1332</v>
      </c>
      <c r="M627">
        <v>15984</v>
      </c>
      <c r="N627">
        <v>2</v>
      </c>
      <c r="O627" t="str" cm="1">
        <f t="array" ref="O627">_xlfn.IFS(EmpTable[[#This Row],[Job Rate]] &lt;=1,"LOW",N627&lt;=2,"LOW",N627&lt;=3,"MEDIUM",N627&gt;4,"HIGH")</f>
        <v>LOW</v>
      </c>
      <c r="P627">
        <v>0</v>
      </c>
      <c r="Q627">
        <v>0</v>
      </c>
      <c r="R627">
        <v>14</v>
      </c>
    </row>
    <row r="628" spans="1:18" x14ac:dyDescent="0.3">
      <c r="A628">
        <v>627</v>
      </c>
      <c r="B628" t="s">
        <v>33</v>
      </c>
      <c r="C628" t="s">
        <v>833</v>
      </c>
      <c r="D628" t="str">
        <f>_xlfn.CONCAT(EmpTable[[#This Row],[First Name]],EmpTable[[#This Row],[Last Name]])</f>
        <v>MuhamadSulayman</v>
      </c>
      <c r="E628" t="s">
        <v>32</v>
      </c>
      <c r="F628" s="1">
        <v>43071</v>
      </c>
      <c r="G628" s="2">
        <f ca="1">DATEDIF(EmpTable[[#This Row],[Start Date]],TODAY(),"Y")</f>
        <v>8</v>
      </c>
      <c r="H628" s="2" t="str" cm="1">
        <f t="array" aca="1" ref="H628" ca="1">_xlfn.IFS(G628&lt;=1,"Fresh",G628&lt;=3,"Junior",G628&lt;=7,"Teamlead",G628&gt;=7,"manger")</f>
        <v>manger</v>
      </c>
      <c r="I628" t="s">
        <v>50</v>
      </c>
      <c r="J628" t="s">
        <v>22</v>
      </c>
      <c r="K628" t="s">
        <v>36</v>
      </c>
      <c r="L628">
        <v>2023</v>
      </c>
      <c r="M628">
        <v>24276</v>
      </c>
      <c r="N628">
        <v>5</v>
      </c>
      <c r="O628" t="str" cm="1">
        <f t="array" ref="O628">_xlfn.IFS(EmpTable[[#This Row],[Job Rate]] &lt;=1,"LOW",N628&lt;=2,"LOW",N628&lt;=3,"MEDIUM",N628&gt;4,"HIGH")</f>
        <v>HIGH</v>
      </c>
      <c r="P628">
        <v>6</v>
      </c>
      <c r="Q628">
        <v>0</v>
      </c>
      <c r="R628">
        <v>5</v>
      </c>
    </row>
    <row r="629" spans="1:18" x14ac:dyDescent="0.3">
      <c r="A629">
        <v>628</v>
      </c>
      <c r="B629" t="s">
        <v>33</v>
      </c>
      <c r="C629" t="s">
        <v>834</v>
      </c>
      <c r="D629" t="str">
        <f>_xlfn.CONCAT(EmpTable[[#This Row],[First Name]],EmpTable[[#This Row],[Last Name]])</f>
        <v>MuhamadSuqabani</v>
      </c>
      <c r="E629" t="s">
        <v>32</v>
      </c>
      <c r="F629" s="1">
        <v>44156</v>
      </c>
      <c r="G629" s="2">
        <f ca="1">DATEDIF(EmpTable[[#This Row],[Start Date]],TODAY(),"Y")</f>
        <v>5</v>
      </c>
      <c r="H629" s="2" t="str" cm="1">
        <f t="array" aca="1" ref="H629" ca="1">_xlfn.IFS(G629&lt;=1,"Fresh",G629&lt;=3,"Junior",G629&lt;=7,"Teamlead",G629&gt;=7,"manger")</f>
        <v>Teamlead</v>
      </c>
      <c r="I629" t="s">
        <v>77</v>
      </c>
      <c r="J629" t="s">
        <v>18</v>
      </c>
      <c r="K629" t="s">
        <v>898</v>
      </c>
      <c r="L629">
        <v>2094</v>
      </c>
      <c r="M629">
        <v>25128</v>
      </c>
      <c r="N629">
        <v>4.5</v>
      </c>
      <c r="O629" t="str" cm="1">
        <f t="array" ref="O629">_xlfn.IFS(EmpTable[[#This Row],[Job Rate]] &lt;=1,"LOW",N629&lt;=2,"LOW",N629&lt;=3,"MEDIUM",N629&gt;4,"HIGH")</f>
        <v>HIGH</v>
      </c>
      <c r="P629">
        <v>6</v>
      </c>
      <c r="Q629">
        <v>5</v>
      </c>
      <c r="R629">
        <v>2</v>
      </c>
    </row>
    <row r="630" spans="1:18" x14ac:dyDescent="0.3">
      <c r="A630">
        <v>629</v>
      </c>
      <c r="B630" t="s">
        <v>33</v>
      </c>
      <c r="C630" t="s">
        <v>835</v>
      </c>
      <c r="D630" t="str">
        <f>_xlfn.CONCAT(EmpTable[[#This Row],[First Name]],EmpTable[[#This Row],[Last Name]])</f>
        <v>MuhamadAldubbas</v>
      </c>
      <c r="E630" t="s">
        <v>32</v>
      </c>
      <c r="F630" s="1">
        <v>43617</v>
      </c>
      <c r="G630" s="2">
        <f ca="1">DATEDIF(EmpTable[[#This Row],[Start Date]],TODAY(),"Y")</f>
        <v>6</v>
      </c>
      <c r="H630" s="2" t="str" cm="1">
        <f t="array" aca="1" ref="H630" ca="1">_xlfn.IFS(G630&lt;=1,"Fresh",G630&lt;=3,"Junior",G630&lt;=7,"Teamlead",G630&gt;=7,"manger")</f>
        <v>Teamlead</v>
      </c>
      <c r="I630" t="s">
        <v>45</v>
      </c>
      <c r="J630" t="s">
        <v>22</v>
      </c>
      <c r="K630" t="s">
        <v>36</v>
      </c>
      <c r="L630">
        <v>3006</v>
      </c>
      <c r="M630">
        <v>36072</v>
      </c>
      <c r="N630">
        <v>4.5</v>
      </c>
      <c r="O630" t="str" cm="1">
        <f t="array" ref="O630">_xlfn.IFS(EmpTable[[#This Row],[Job Rate]] &lt;=1,"LOW",N630&lt;=2,"LOW",N630&lt;=3,"MEDIUM",N630&gt;4,"HIGH")</f>
        <v>HIGH</v>
      </c>
      <c r="P630">
        <v>0</v>
      </c>
      <c r="Q630">
        <v>3</v>
      </c>
      <c r="R630">
        <v>7</v>
      </c>
    </row>
    <row r="631" spans="1:18" x14ac:dyDescent="0.3">
      <c r="A631">
        <v>630</v>
      </c>
      <c r="B631" t="s">
        <v>836</v>
      </c>
      <c r="C631" t="s">
        <v>837</v>
      </c>
      <c r="D631" t="str">
        <f>_xlfn.CONCAT(EmpTable[[#This Row],[First Name]],EmpTable[[#This Row],[Last Name]])</f>
        <v>HamzaaAstitih</v>
      </c>
      <c r="E631" t="s">
        <v>32</v>
      </c>
      <c r="F631" s="1">
        <v>43795</v>
      </c>
      <c r="G631" s="2">
        <f ca="1">DATEDIF(EmpTable[[#This Row],[Start Date]],TODAY(),"Y")</f>
        <v>6</v>
      </c>
      <c r="H631" s="2" t="str" cm="1">
        <f t="array" aca="1" ref="H631" ca="1">_xlfn.IFS(G631&lt;=1,"Fresh",G631&lt;=3,"Junior",G631&lt;=7,"Teamlead",G631&gt;=7,"manger")</f>
        <v>Teamlead</v>
      </c>
      <c r="I631" t="s">
        <v>28</v>
      </c>
      <c r="J631" t="s">
        <v>29</v>
      </c>
      <c r="K631" t="s">
        <v>42</v>
      </c>
      <c r="L631">
        <v>2717</v>
      </c>
      <c r="M631">
        <v>32604</v>
      </c>
      <c r="N631">
        <v>5</v>
      </c>
      <c r="O631" t="str" cm="1">
        <f t="array" ref="O631">_xlfn.IFS(EmpTable[[#This Row],[Job Rate]] &lt;=1,"LOW",N631&lt;=2,"LOW",N631&lt;=3,"MEDIUM",N631&gt;4,"HIGH")</f>
        <v>HIGH</v>
      </c>
      <c r="P631">
        <v>0</v>
      </c>
      <c r="Q631">
        <v>0</v>
      </c>
      <c r="R631">
        <v>7</v>
      </c>
    </row>
    <row r="632" spans="1:18" x14ac:dyDescent="0.3">
      <c r="A632">
        <v>631</v>
      </c>
      <c r="B632" t="s">
        <v>833</v>
      </c>
      <c r="C632" t="s">
        <v>838</v>
      </c>
      <c r="D632" t="str">
        <f>_xlfn.CONCAT(EmpTable[[#This Row],[First Name]],EmpTable[[#This Row],[Last Name]])</f>
        <v>SulaymanZinu</v>
      </c>
      <c r="E632" t="s">
        <v>32</v>
      </c>
      <c r="F632" s="1">
        <v>43326</v>
      </c>
      <c r="G632" s="2">
        <f ca="1">DATEDIF(EmpTable[[#This Row],[Start Date]],TODAY(),"Y")</f>
        <v>7</v>
      </c>
      <c r="H632" s="2" t="str" cm="1">
        <f t="array" aca="1" ref="H632" ca="1">_xlfn.IFS(G632&lt;=1,"Fresh",G632&lt;=3,"Junior",G632&lt;=7,"Teamlead",G632&gt;=7,"manger")</f>
        <v>Teamlead</v>
      </c>
      <c r="I632" t="s">
        <v>76</v>
      </c>
      <c r="J632" t="s">
        <v>29</v>
      </c>
      <c r="K632" t="s">
        <v>42</v>
      </c>
      <c r="L632">
        <v>3135</v>
      </c>
      <c r="M632">
        <v>37620</v>
      </c>
      <c r="N632">
        <v>3</v>
      </c>
      <c r="O632" t="str" cm="1">
        <f t="array" ref="O632">_xlfn.IFS(EmpTable[[#This Row],[Job Rate]] &lt;=1,"LOW",N632&lt;=2,"LOW",N632&lt;=3,"MEDIUM",N632&gt;4,"HIGH")</f>
        <v>MEDIUM</v>
      </c>
      <c r="P632">
        <v>1</v>
      </c>
      <c r="Q632">
        <v>0</v>
      </c>
      <c r="R632">
        <v>5</v>
      </c>
    </row>
    <row r="633" spans="1:18" x14ac:dyDescent="0.3">
      <c r="A633">
        <v>632</v>
      </c>
      <c r="B633" t="s">
        <v>59</v>
      </c>
      <c r="C633" t="s">
        <v>46</v>
      </c>
      <c r="D633" t="str">
        <f>_xlfn.CONCAT(EmpTable[[#This Row],[First Name]],EmpTable[[#This Row],[Last Name]])</f>
        <v>AlaaAlrifaei</v>
      </c>
      <c r="E633" t="s">
        <v>307</v>
      </c>
      <c r="F633" s="1">
        <v>43776</v>
      </c>
      <c r="G633" s="2">
        <f ca="1">DATEDIF(EmpTable[[#This Row],[Start Date]],TODAY(),"Y")</f>
        <v>6</v>
      </c>
      <c r="H633" s="2" t="str" cm="1">
        <f t="array" aca="1" ref="H633" ca="1">_xlfn.IFS(G633&lt;=1,"Fresh",G633&lt;=3,"Junior",G633&lt;=7,"Teamlead",G633&gt;=7,"manger")</f>
        <v>Teamlead</v>
      </c>
      <c r="I633" t="s">
        <v>41</v>
      </c>
      <c r="J633" t="s">
        <v>29</v>
      </c>
      <c r="K633" t="s">
        <v>36</v>
      </c>
      <c r="L633">
        <v>2334</v>
      </c>
      <c r="M633">
        <v>28008</v>
      </c>
      <c r="N633">
        <v>1</v>
      </c>
      <c r="O633" t="str" cm="1">
        <f t="array" ref="O633">_xlfn.IFS(EmpTable[[#This Row],[Job Rate]] &lt;=1,"LOW",N633&lt;=2,"LOW",N633&lt;=3,"MEDIUM",N633&gt;4,"HIGH")</f>
        <v>LOW</v>
      </c>
      <c r="P633">
        <v>2</v>
      </c>
      <c r="Q633">
        <v>0</v>
      </c>
      <c r="R633">
        <v>2</v>
      </c>
    </row>
    <row r="634" spans="1:18" x14ac:dyDescent="0.3">
      <c r="A634">
        <v>633</v>
      </c>
      <c r="B634" t="s">
        <v>172</v>
      </c>
      <c r="C634" t="s">
        <v>46</v>
      </c>
      <c r="D634" t="str">
        <f>_xlfn.CONCAT(EmpTable[[#This Row],[First Name]],EmpTable[[#This Row],[Last Name]])</f>
        <v>RashaAlrifaei</v>
      </c>
      <c r="E634" t="s">
        <v>307</v>
      </c>
      <c r="F634" s="1">
        <v>43487</v>
      </c>
      <c r="G634" s="2">
        <f ca="1">DATEDIF(EmpTable[[#This Row],[Start Date]],TODAY(),"Y")</f>
        <v>7</v>
      </c>
      <c r="H634" s="2" t="str" cm="1">
        <f t="array" aca="1" ref="H634" ca="1">_xlfn.IFS(G634&lt;=1,"Fresh",G634&lt;=3,"Junior",G634&lt;=7,"Teamlead",G634&gt;=7,"manger")</f>
        <v>Teamlead</v>
      </c>
      <c r="I634" t="s">
        <v>41</v>
      </c>
      <c r="J634" t="s">
        <v>18</v>
      </c>
      <c r="K634" t="s">
        <v>36</v>
      </c>
      <c r="L634">
        <v>1661</v>
      </c>
      <c r="M634">
        <v>19932</v>
      </c>
      <c r="N634">
        <v>5</v>
      </c>
      <c r="O634" t="str" cm="1">
        <f t="array" ref="O634">_xlfn.IFS(EmpTable[[#This Row],[Job Rate]] &lt;=1,"LOW",N634&lt;=2,"LOW",N634&lt;=3,"MEDIUM",N634&gt;4,"HIGH")</f>
        <v>HIGH</v>
      </c>
      <c r="P634">
        <v>4</v>
      </c>
      <c r="Q634">
        <v>0</v>
      </c>
      <c r="R634">
        <v>9</v>
      </c>
    </row>
    <row r="635" spans="1:18" x14ac:dyDescent="0.3">
      <c r="A635">
        <v>634</v>
      </c>
      <c r="B635" t="s">
        <v>56</v>
      </c>
      <c r="C635" t="s">
        <v>839</v>
      </c>
      <c r="D635" t="str">
        <f>_xlfn.CONCAT(EmpTable[[#This Row],[First Name]],EmpTable[[#This Row],[Last Name]])</f>
        <v>BayanDarbika</v>
      </c>
      <c r="E635" t="s">
        <v>307</v>
      </c>
      <c r="F635" s="1">
        <v>43595</v>
      </c>
      <c r="G635" s="2">
        <f ca="1">DATEDIF(EmpTable[[#This Row],[Start Date]],TODAY(),"Y")</f>
        <v>6</v>
      </c>
      <c r="H635" s="2" t="str" cm="1">
        <f t="array" aca="1" ref="H635" ca="1">_xlfn.IFS(G635&lt;=1,"Fresh",G635&lt;=3,"Junior",G635&lt;=7,"Teamlead",G635&gt;=7,"manger")</f>
        <v>Teamlead</v>
      </c>
      <c r="I635" t="s">
        <v>353</v>
      </c>
      <c r="J635" t="s">
        <v>18</v>
      </c>
      <c r="K635" t="s">
        <v>898</v>
      </c>
      <c r="L635">
        <v>1230</v>
      </c>
      <c r="M635">
        <v>14760</v>
      </c>
      <c r="N635">
        <v>5</v>
      </c>
      <c r="O635" t="str" cm="1">
        <f t="array" ref="O635">_xlfn.IFS(EmpTable[[#This Row],[Job Rate]] &lt;=1,"LOW",N635&lt;=2,"LOW",N635&lt;=3,"MEDIUM",N635&gt;4,"HIGH")</f>
        <v>HIGH</v>
      </c>
      <c r="P635">
        <v>0</v>
      </c>
      <c r="Q635">
        <v>6</v>
      </c>
      <c r="R635">
        <v>5</v>
      </c>
    </row>
    <row r="636" spans="1:18" x14ac:dyDescent="0.3">
      <c r="A636">
        <v>635</v>
      </c>
      <c r="B636" t="s">
        <v>37</v>
      </c>
      <c r="C636" t="s">
        <v>257</v>
      </c>
      <c r="D636" t="str">
        <f>_xlfn.CONCAT(EmpTable[[#This Row],[First Name]],EmpTable[[#This Row],[Last Name]])</f>
        <v>IinAlmunzilijiu</v>
      </c>
      <c r="E636" t="s">
        <v>307</v>
      </c>
      <c r="F636" s="1">
        <v>42434</v>
      </c>
      <c r="G636" s="2">
        <f ca="1">DATEDIF(EmpTable[[#This Row],[Start Date]],TODAY(),"Y")</f>
        <v>10</v>
      </c>
      <c r="H636" s="2" t="str" cm="1">
        <f t="array" aca="1" ref="H636" ca="1">_xlfn.IFS(G636&lt;=1,"Fresh",G636&lt;=3,"Junior",G636&lt;=7,"Teamlead",G636&gt;=7,"manger")</f>
        <v>manger</v>
      </c>
      <c r="I636" t="s">
        <v>39</v>
      </c>
      <c r="J636" t="s">
        <v>22</v>
      </c>
      <c r="K636" t="s">
        <v>42</v>
      </c>
      <c r="L636">
        <v>1483</v>
      </c>
      <c r="M636">
        <v>17796</v>
      </c>
      <c r="N636">
        <v>5</v>
      </c>
      <c r="O636" t="str" cm="1">
        <f t="array" ref="O636">_xlfn.IFS(EmpTable[[#This Row],[Job Rate]] &lt;=1,"LOW",N636&lt;=2,"LOW",N636&lt;=3,"MEDIUM",N636&gt;4,"HIGH")</f>
        <v>HIGH</v>
      </c>
      <c r="P636">
        <v>0</v>
      </c>
      <c r="Q636">
        <v>2</v>
      </c>
      <c r="R636">
        <v>8</v>
      </c>
    </row>
    <row r="637" spans="1:18" x14ac:dyDescent="0.3">
      <c r="A637">
        <v>636</v>
      </c>
      <c r="B637" t="s">
        <v>124</v>
      </c>
      <c r="C637" t="s">
        <v>840</v>
      </c>
      <c r="D637" t="str">
        <f>_xlfn.CONCAT(EmpTable[[#This Row],[First Name]],EmpTable[[#This Row],[Last Name]])</f>
        <v>Abd AlwahhabAldhiyab</v>
      </c>
      <c r="E637" t="s">
        <v>32</v>
      </c>
      <c r="F637" s="1">
        <v>43614</v>
      </c>
      <c r="G637" s="2">
        <f ca="1">DATEDIF(EmpTable[[#This Row],[Start Date]],TODAY(),"Y")</f>
        <v>6</v>
      </c>
      <c r="H637" s="2" t="str" cm="1">
        <f t="array" aca="1" ref="H637" ca="1">_xlfn.IFS(G637&lt;=1,"Fresh",G637&lt;=3,"Junior",G637&lt;=7,"Teamlead",G637&gt;=7,"manger")</f>
        <v>Teamlead</v>
      </c>
      <c r="I637" t="s">
        <v>17</v>
      </c>
      <c r="J637" t="s">
        <v>29</v>
      </c>
      <c r="K637" t="s">
        <v>36</v>
      </c>
      <c r="L637">
        <v>2462</v>
      </c>
      <c r="M637">
        <v>29544</v>
      </c>
      <c r="N637">
        <v>3</v>
      </c>
      <c r="O637" t="str" cm="1">
        <f t="array" ref="O637">_xlfn.IFS(EmpTable[[#This Row],[Job Rate]] &lt;=1,"LOW",N637&lt;=2,"LOW",N637&lt;=3,"MEDIUM",N637&gt;4,"HIGH")</f>
        <v>MEDIUM</v>
      </c>
      <c r="P637">
        <v>6</v>
      </c>
      <c r="Q637">
        <v>3</v>
      </c>
      <c r="R637">
        <v>2</v>
      </c>
    </row>
    <row r="638" spans="1:18" x14ac:dyDescent="0.3">
      <c r="A638">
        <v>637</v>
      </c>
      <c r="B638" t="s">
        <v>718</v>
      </c>
      <c r="C638" t="s">
        <v>841</v>
      </c>
      <c r="D638" t="str">
        <f>_xlfn.CONCAT(EmpTable[[#This Row],[First Name]],EmpTable[[#This Row],[Last Name]])</f>
        <v>HananSalahi</v>
      </c>
      <c r="E638" t="s">
        <v>307</v>
      </c>
      <c r="F638" s="1">
        <v>44194</v>
      </c>
      <c r="G638" s="2">
        <f ca="1">DATEDIF(EmpTable[[#This Row],[Start Date]],TODAY(),"Y")</f>
        <v>5</v>
      </c>
      <c r="H638" s="2" t="str" cm="1">
        <f t="array" aca="1" ref="H638" ca="1">_xlfn.IFS(G638&lt;=1,"Fresh",G638&lt;=3,"Junior",G638&lt;=7,"Teamlead",G638&gt;=7,"manger")</f>
        <v>Teamlead</v>
      </c>
      <c r="I638" t="s">
        <v>77</v>
      </c>
      <c r="J638" t="s">
        <v>18</v>
      </c>
      <c r="K638" t="s">
        <v>898</v>
      </c>
      <c r="L638">
        <v>2180</v>
      </c>
      <c r="M638">
        <v>26160</v>
      </c>
      <c r="N638">
        <v>5</v>
      </c>
      <c r="O638" t="str" cm="1">
        <f t="array" ref="O638">_xlfn.IFS(EmpTable[[#This Row],[Job Rate]] &lt;=1,"LOW",N638&lt;=2,"LOW",N638&lt;=3,"MEDIUM",N638&gt;4,"HIGH")</f>
        <v>HIGH</v>
      </c>
      <c r="P638">
        <v>3</v>
      </c>
      <c r="Q638">
        <v>0</v>
      </c>
      <c r="R638">
        <v>0</v>
      </c>
    </row>
    <row r="639" spans="1:18" x14ac:dyDescent="0.3">
      <c r="A639">
        <v>638</v>
      </c>
      <c r="B639" t="s">
        <v>212</v>
      </c>
      <c r="C639" t="s">
        <v>842</v>
      </c>
      <c r="D639" t="str">
        <f>_xlfn.CONCAT(EmpTable[[#This Row],[First Name]],EmpTable[[#This Row],[Last Name]])</f>
        <v>MariAyuwb</v>
      </c>
      <c r="E639" t="s">
        <v>307</v>
      </c>
      <c r="F639" s="1">
        <v>42576</v>
      </c>
      <c r="G639" s="2">
        <f ca="1">DATEDIF(EmpTable[[#This Row],[Start Date]],TODAY(),"Y")</f>
        <v>9</v>
      </c>
      <c r="H639" s="2" t="str" cm="1">
        <f t="array" aca="1" ref="H639" ca="1">_xlfn.IFS(G639&lt;=1,"Fresh",G639&lt;=3,"Junior",G639&lt;=7,"Teamlead",G639&gt;=7,"manger")</f>
        <v>manger</v>
      </c>
      <c r="I639" t="s">
        <v>118</v>
      </c>
      <c r="J639" t="s">
        <v>18</v>
      </c>
      <c r="K639" t="s">
        <v>36</v>
      </c>
      <c r="L639">
        <v>943</v>
      </c>
      <c r="M639">
        <v>11316</v>
      </c>
      <c r="N639">
        <v>5</v>
      </c>
      <c r="O639" t="str" cm="1">
        <f t="array" ref="O639">_xlfn.IFS(EmpTable[[#This Row],[Job Rate]] &lt;=1,"LOW",N639&lt;=2,"LOW",N639&lt;=3,"MEDIUM",N639&gt;4,"HIGH")</f>
        <v>HIGH</v>
      </c>
      <c r="P639">
        <v>0</v>
      </c>
      <c r="Q639">
        <v>4</v>
      </c>
      <c r="R639">
        <v>7</v>
      </c>
    </row>
    <row r="640" spans="1:18" x14ac:dyDescent="0.3">
      <c r="A640">
        <v>639</v>
      </c>
      <c r="B640" t="s">
        <v>20</v>
      </c>
      <c r="C640" t="s">
        <v>843</v>
      </c>
      <c r="D640" t="str">
        <f>_xlfn.CONCAT(EmpTable[[#This Row],[First Name]],EmpTable[[#This Row],[Last Name]])</f>
        <v>OmarShawqi</v>
      </c>
      <c r="E640" t="s">
        <v>32</v>
      </c>
      <c r="F640" s="1">
        <v>43688</v>
      </c>
      <c r="G640" s="2">
        <f ca="1">DATEDIF(EmpTable[[#This Row],[Start Date]],TODAY(),"Y")</f>
        <v>6</v>
      </c>
      <c r="H640" s="2" t="str" cm="1">
        <f t="array" aca="1" ref="H640" ca="1">_xlfn.IFS(G640&lt;=1,"Fresh",G640&lt;=3,"Junior",G640&lt;=7,"Teamlead",G640&gt;=7,"manger")</f>
        <v>Teamlead</v>
      </c>
      <c r="I640" t="s">
        <v>25</v>
      </c>
      <c r="J640" t="s">
        <v>18</v>
      </c>
      <c r="K640" t="s">
        <v>42</v>
      </c>
      <c r="L640">
        <v>2489</v>
      </c>
      <c r="M640">
        <v>29868</v>
      </c>
      <c r="N640">
        <v>3</v>
      </c>
      <c r="O640" t="str" cm="1">
        <f t="array" ref="O640">_xlfn.IFS(EmpTable[[#This Row],[Job Rate]] &lt;=1,"LOW",N640&lt;=2,"LOW",N640&lt;=3,"MEDIUM",N640&gt;4,"HIGH")</f>
        <v>MEDIUM</v>
      </c>
      <c r="P640">
        <v>6</v>
      </c>
      <c r="Q640">
        <v>0</v>
      </c>
      <c r="R640">
        <v>3</v>
      </c>
    </row>
    <row r="641" spans="1:18" x14ac:dyDescent="0.3">
      <c r="A641">
        <v>640</v>
      </c>
      <c r="B641" t="s">
        <v>195</v>
      </c>
      <c r="C641" t="s">
        <v>844</v>
      </c>
      <c r="D641" t="str">
        <f>_xlfn.CONCAT(EmpTable[[#This Row],[First Name]],EmpTable[[#This Row],[Last Name]])</f>
        <v>TariqAldhahabi</v>
      </c>
      <c r="E641" t="s">
        <v>32</v>
      </c>
      <c r="F641" s="1">
        <v>43781</v>
      </c>
      <c r="G641" s="2">
        <f ca="1">DATEDIF(EmpTable[[#This Row],[Start Date]],TODAY(),"Y")</f>
        <v>6</v>
      </c>
      <c r="H641" s="2" t="str" cm="1">
        <f t="array" aca="1" ref="H641" ca="1">_xlfn.IFS(G641&lt;=1,"Fresh",G641&lt;=3,"Junior",G641&lt;=7,"Teamlead",G641&gt;=7,"manger")</f>
        <v>Teamlead</v>
      </c>
      <c r="I641" t="s">
        <v>35</v>
      </c>
      <c r="J641" t="s">
        <v>18</v>
      </c>
      <c r="K641" t="s">
        <v>60</v>
      </c>
      <c r="L641">
        <v>2279</v>
      </c>
      <c r="M641">
        <v>27348</v>
      </c>
      <c r="N641">
        <v>5</v>
      </c>
      <c r="O641" t="str" cm="1">
        <f t="array" ref="O641">_xlfn.IFS(EmpTable[[#This Row],[Job Rate]] &lt;=1,"LOW",N641&lt;=2,"LOW",N641&lt;=3,"MEDIUM",N641&gt;4,"HIGH")</f>
        <v>HIGH</v>
      </c>
      <c r="P641">
        <v>0</v>
      </c>
      <c r="Q641">
        <v>0</v>
      </c>
      <c r="R641">
        <v>4</v>
      </c>
    </row>
    <row r="642" spans="1:18" x14ac:dyDescent="0.3">
      <c r="A642">
        <v>641</v>
      </c>
      <c r="B642" t="s">
        <v>651</v>
      </c>
      <c r="C642" t="s">
        <v>627</v>
      </c>
      <c r="D642" t="str">
        <f>_xlfn.CONCAT(EmpTable[[#This Row],[First Name]],EmpTable[[#This Row],[Last Name]])</f>
        <v>RamaAsead</v>
      </c>
      <c r="E642" t="s">
        <v>307</v>
      </c>
      <c r="F642" s="1">
        <v>43479</v>
      </c>
      <c r="G642" s="2">
        <f ca="1">DATEDIF(EmpTable[[#This Row],[Start Date]],TODAY(),"Y")</f>
        <v>7</v>
      </c>
      <c r="H642" s="2" t="str" cm="1">
        <f t="array" aca="1" ref="H642" ca="1">_xlfn.IFS(G642&lt;=1,"Fresh",G642&lt;=3,"Junior",G642&lt;=7,"Teamlead",G642&gt;=7,"manger")</f>
        <v>Teamlead</v>
      </c>
      <c r="I642" t="s">
        <v>77</v>
      </c>
      <c r="J642" t="s">
        <v>22</v>
      </c>
      <c r="K642" t="s">
        <v>42</v>
      </c>
      <c r="L642">
        <v>840</v>
      </c>
      <c r="M642">
        <v>10080</v>
      </c>
      <c r="N642">
        <v>3</v>
      </c>
      <c r="O642" t="str" cm="1">
        <f t="array" ref="O642">_xlfn.IFS(EmpTable[[#This Row],[Job Rate]] &lt;=1,"LOW",N642&lt;=2,"LOW",N642&lt;=3,"MEDIUM",N642&gt;4,"HIGH")</f>
        <v>MEDIUM</v>
      </c>
      <c r="P642">
        <v>4</v>
      </c>
      <c r="Q642">
        <v>0</v>
      </c>
      <c r="R642">
        <v>10</v>
      </c>
    </row>
    <row r="643" spans="1:18" x14ac:dyDescent="0.3">
      <c r="A643">
        <v>642</v>
      </c>
      <c r="B643" t="s">
        <v>845</v>
      </c>
      <c r="C643" t="s">
        <v>283</v>
      </c>
      <c r="D643" t="str">
        <f>_xlfn.CONCAT(EmpTable[[#This Row],[First Name]],EmpTable[[#This Row],[Last Name]])</f>
        <v>GhaythEali</v>
      </c>
      <c r="E643" t="s">
        <v>32</v>
      </c>
      <c r="F643" s="1">
        <v>43511</v>
      </c>
      <c r="G643" s="2">
        <f ca="1">DATEDIF(EmpTable[[#This Row],[Start Date]],TODAY(),"Y")</f>
        <v>7</v>
      </c>
      <c r="H643" s="2" t="str" cm="1">
        <f t="array" aca="1" ref="H643" ca="1">_xlfn.IFS(G643&lt;=1,"Fresh",G643&lt;=3,"Junior",G643&lt;=7,"Teamlead",G643&gt;=7,"manger")</f>
        <v>Teamlead</v>
      </c>
      <c r="I643" t="s">
        <v>17</v>
      </c>
      <c r="J643" t="s">
        <v>18</v>
      </c>
      <c r="K643" t="s">
        <v>36</v>
      </c>
      <c r="L643">
        <v>1601</v>
      </c>
      <c r="M643">
        <v>19212</v>
      </c>
      <c r="N643">
        <v>5</v>
      </c>
      <c r="O643" t="str" cm="1">
        <f t="array" ref="O643">_xlfn.IFS(EmpTable[[#This Row],[Job Rate]] &lt;=1,"LOW",N643&lt;=2,"LOW",N643&lt;=3,"MEDIUM",N643&gt;4,"HIGH")</f>
        <v>HIGH</v>
      </c>
      <c r="P643">
        <v>0</v>
      </c>
      <c r="Q643">
        <v>0</v>
      </c>
      <c r="R643">
        <v>3</v>
      </c>
    </row>
    <row r="644" spans="1:18" x14ac:dyDescent="0.3">
      <c r="A644">
        <v>643</v>
      </c>
      <c r="B644" t="s">
        <v>219</v>
      </c>
      <c r="C644" t="s">
        <v>618</v>
      </c>
      <c r="D644" t="str">
        <f>_xlfn.CONCAT(EmpTable[[#This Row],[First Name]],EmpTable[[#This Row],[Last Name]])</f>
        <v>MahirEabuwd</v>
      </c>
      <c r="E644" t="s">
        <v>32</v>
      </c>
      <c r="F644" s="1">
        <v>43218</v>
      </c>
      <c r="G644" s="2">
        <f ca="1">DATEDIF(EmpTable[[#This Row],[Start Date]],TODAY(),"Y")</f>
        <v>7</v>
      </c>
      <c r="H644" s="2" t="str" cm="1">
        <f t="array" aca="1" ref="H644" ca="1">_xlfn.IFS(G644&lt;=1,"Fresh",G644&lt;=3,"Junior",G644&lt;=7,"Teamlead",G644&gt;=7,"manger")</f>
        <v>Teamlead</v>
      </c>
      <c r="I644" t="s">
        <v>41</v>
      </c>
      <c r="J644" t="s">
        <v>18</v>
      </c>
      <c r="K644" t="s">
        <v>36</v>
      </c>
      <c r="L644">
        <v>1414</v>
      </c>
      <c r="M644">
        <v>16968</v>
      </c>
      <c r="N644">
        <v>5</v>
      </c>
      <c r="O644" t="str" cm="1">
        <f t="array" ref="O644">_xlfn.IFS(EmpTable[[#This Row],[Job Rate]] &lt;=1,"LOW",N644&lt;=2,"LOW",N644&lt;=3,"MEDIUM",N644&gt;4,"HIGH")</f>
        <v>HIGH</v>
      </c>
      <c r="P644">
        <v>4</v>
      </c>
      <c r="Q644">
        <v>0</v>
      </c>
      <c r="R644">
        <v>10</v>
      </c>
    </row>
    <row r="645" spans="1:18" x14ac:dyDescent="0.3">
      <c r="A645">
        <v>644</v>
      </c>
      <c r="B645" t="s">
        <v>151</v>
      </c>
      <c r="C645" t="s">
        <v>846</v>
      </c>
      <c r="D645" t="str">
        <f>_xlfn.CONCAT(EmpTable[[#This Row],[First Name]],EmpTable[[#This Row],[Last Name]])</f>
        <v>MuwminAlmujahid</v>
      </c>
      <c r="E645" t="s">
        <v>32</v>
      </c>
      <c r="F645" s="1">
        <v>43915</v>
      </c>
      <c r="G645" s="2">
        <f ca="1">DATEDIF(EmpTable[[#This Row],[Start Date]],TODAY(),"Y")</f>
        <v>6</v>
      </c>
      <c r="H645" s="2" t="str" cm="1">
        <f t="array" aca="1" ref="H645" ca="1">_xlfn.IFS(G645&lt;=1,"Fresh",G645&lt;=3,"Junior",G645&lt;=7,"Teamlead",G645&gt;=7,"manger")</f>
        <v>Teamlead</v>
      </c>
      <c r="I645" t="s">
        <v>50</v>
      </c>
      <c r="J645" t="s">
        <v>29</v>
      </c>
      <c r="K645" t="s">
        <v>36</v>
      </c>
      <c r="L645">
        <v>905</v>
      </c>
      <c r="M645">
        <v>10860</v>
      </c>
      <c r="N645">
        <v>3</v>
      </c>
      <c r="O645" t="str" cm="1">
        <f t="array" ref="O645">_xlfn.IFS(EmpTable[[#This Row],[Job Rate]] &lt;=1,"LOW",N645&lt;=2,"LOW",N645&lt;=3,"MEDIUM",N645&gt;4,"HIGH")</f>
        <v>MEDIUM</v>
      </c>
      <c r="P645">
        <v>0</v>
      </c>
      <c r="Q645">
        <v>0</v>
      </c>
      <c r="R645">
        <v>8</v>
      </c>
    </row>
    <row r="646" spans="1:18" x14ac:dyDescent="0.3">
      <c r="A646">
        <v>645</v>
      </c>
      <c r="B646" t="s">
        <v>847</v>
      </c>
      <c r="C646" t="s">
        <v>323</v>
      </c>
      <c r="D646" t="str">
        <f>_xlfn.CONCAT(EmpTable[[#This Row],[First Name]],EmpTable[[#This Row],[Last Name]])</f>
        <v>DimaDrwysh</v>
      </c>
      <c r="E646" t="s">
        <v>307</v>
      </c>
      <c r="F646" s="1">
        <v>43894</v>
      </c>
      <c r="G646" s="2">
        <f ca="1">DATEDIF(EmpTable[[#This Row],[Start Date]],TODAY(),"Y")</f>
        <v>6</v>
      </c>
      <c r="H646" s="2" t="str" cm="1">
        <f t="array" aca="1" ref="H646" ca="1">_xlfn.IFS(G646&lt;=1,"Fresh",G646&lt;=3,"Junior",G646&lt;=7,"Teamlead",G646&gt;=7,"manger")</f>
        <v>Teamlead</v>
      </c>
      <c r="I646" t="s">
        <v>53</v>
      </c>
      <c r="J646" t="s">
        <v>29</v>
      </c>
      <c r="K646" t="s">
        <v>36</v>
      </c>
      <c r="L646">
        <v>2525</v>
      </c>
      <c r="M646">
        <v>30300</v>
      </c>
      <c r="N646">
        <v>3</v>
      </c>
      <c r="O646" t="str" cm="1">
        <f t="array" ref="O646">_xlfn.IFS(EmpTable[[#This Row],[Job Rate]] &lt;=1,"LOW",N646&lt;=2,"LOW",N646&lt;=3,"MEDIUM",N646&gt;4,"HIGH")</f>
        <v>MEDIUM</v>
      </c>
      <c r="P646">
        <v>0</v>
      </c>
      <c r="Q646">
        <v>0</v>
      </c>
      <c r="R646">
        <v>10</v>
      </c>
    </row>
    <row r="647" spans="1:18" x14ac:dyDescent="0.3">
      <c r="A647">
        <v>646</v>
      </c>
      <c r="B647" t="s">
        <v>33</v>
      </c>
      <c r="C647" t="s">
        <v>165</v>
      </c>
      <c r="D647" t="str">
        <f>_xlfn.CONCAT(EmpTable[[#This Row],[First Name]],EmpTable[[#This Row],[Last Name]])</f>
        <v>MuhamadKhalid</v>
      </c>
      <c r="E647" t="s">
        <v>32</v>
      </c>
      <c r="F647" s="1">
        <v>43245</v>
      </c>
      <c r="G647" s="2">
        <f ca="1">DATEDIF(EmpTable[[#This Row],[Start Date]],TODAY(),"Y")</f>
        <v>7</v>
      </c>
      <c r="H647" s="2" t="str" cm="1">
        <f t="array" aca="1" ref="H647" ca="1">_xlfn.IFS(G647&lt;=1,"Fresh",G647&lt;=3,"Junior",G647&lt;=7,"Teamlead",G647&gt;=7,"manger")</f>
        <v>Teamlead</v>
      </c>
      <c r="I647" t="s">
        <v>39</v>
      </c>
      <c r="J647" t="s">
        <v>18</v>
      </c>
      <c r="K647" t="s">
        <v>36</v>
      </c>
      <c r="L647">
        <v>1412</v>
      </c>
      <c r="M647">
        <v>16944</v>
      </c>
      <c r="N647">
        <v>2</v>
      </c>
      <c r="O647" t="str" cm="1">
        <f t="array" ref="O647">_xlfn.IFS(EmpTable[[#This Row],[Job Rate]] &lt;=1,"LOW",N647&lt;=2,"LOW",N647&lt;=3,"MEDIUM",N647&gt;4,"HIGH")</f>
        <v>LOW</v>
      </c>
      <c r="P647">
        <v>0</v>
      </c>
      <c r="Q647">
        <v>0</v>
      </c>
      <c r="R647">
        <v>7</v>
      </c>
    </row>
    <row r="648" spans="1:18" x14ac:dyDescent="0.3">
      <c r="A648">
        <v>647</v>
      </c>
      <c r="B648" t="s">
        <v>327</v>
      </c>
      <c r="C648" t="s">
        <v>848</v>
      </c>
      <c r="D648" t="str">
        <f>_xlfn.CONCAT(EmpTable[[#This Row],[First Name]],EmpTable[[#This Row],[Last Name]])</f>
        <v>DieaFilyun</v>
      </c>
      <c r="E648" t="s">
        <v>32</v>
      </c>
      <c r="F648" s="1">
        <v>43834</v>
      </c>
      <c r="G648" s="2">
        <f ca="1">DATEDIF(EmpTable[[#This Row],[Start Date]],TODAY(),"Y")</f>
        <v>6</v>
      </c>
      <c r="H648" s="2" t="str" cm="1">
        <f t="array" aca="1" ref="H648" ca="1">_xlfn.IFS(G648&lt;=1,"Fresh",G648&lt;=3,"Junior",G648&lt;=7,"Teamlead",G648&gt;=7,"manger")</f>
        <v>Teamlead</v>
      </c>
      <c r="I648" t="s">
        <v>28</v>
      </c>
      <c r="J648" t="s">
        <v>48</v>
      </c>
      <c r="K648" t="s">
        <v>42</v>
      </c>
      <c r="L648">
        <v>2397</v>
      </c>
      <c r="M648">
        <v>28764</v>
      </c>
      <c r="N648">
        <v>3</v>
      </c>
      <c r="O648" t="str" cm="1">
        <f t="array" ref="O648">_xlfn.IFS(EmpTable[[#This Row],[Job Rate]] &lt;=1,"LOW",N648&lt;=2,"LOW",N648&lt;=3,"MEDIUM",N648&gt;4,"HIGH")</f>
        <v>MEDIUM</v>
      </c>
      <c r="P648">
        <v>0</v>
      </c>
      <c r="Q648">
        <v>0</v>
      </c>
      <c r="R648">
        <v>100</v>
      </c>
    </row>
    <row r="649" spans="1:18" x14ac:dyDescent="0.3">
      <c r="A649">
        <v>648</v>
      </c>
      <c r="B649" t="s">
        <v>33</v>
      </c>
      <c r="C649" t="s">
        <v>849</v>
      </c>
      <c r="D649" t="str">
        <f>_xlfn.CONCAT(EmpTable[[#This Row],[First Name]],EmpTable[[#This Row],[Last Name]])</f>
        <v>MuhamadTasbihji</v>
      </c>
      <c r="E649" t="s">
        <v>32</v>
      </c>
      <c r="F649" s="1">
        <v>44055</v>
      </c>
      <c r="G649" s="2">
        <f ca="1">DATEDIF(EmpTable[[#This Row],[Start Date]],TODAY(),"Y")</f>
        <v>5</v>
      </c>
      <c r="H649" s="2" t="str" cm="1">
        <f t="array" aca="1" ref="H649" ca="1">_xlfn.IFS(G649&lt;=1,"Fresh",G649&lt;=3,"Junior",G649&lt;=7,"Teamlead",G649&gt;=7,"manger")</f>
        <v>Teamlead</v>
      </c>
      <c r="I649" t="s">
        <v>41</v>
      </c>
      <c r="J649" t="s">
        <v>18</v>
      </c>
      <c r="K649" t="s">
        <v>36</v>
      </c>
      <c r="L649">
        <v>1153</v>
      </c>
      <c r="M649">
        <v>13836</v>
      </c>
      <c r="N649">
        <v>4.5</v>
      </c>
      <c r="O649" t="str" cm="1">
        <f t="array" ref="O649">_xlfn.IFS(EmpTable[[#This Row],[Job Rate]] &lt;=1,"LOW",N649&lt;=2,"LOW",N649&lt;=3,"MEDIUM",N649&gt;4,"HIGH")</f>
        <v>HIGH</v>
      </c>
      <c r="P649">
        <v>0</v>
      </c>
      <c r="Q649">
        <v>2</v>
      </c>
      <c r="R649">
        <v>10</v>
      </c>
    </row>
    <row r="650" spans="1:18" x14ac:dyDescent="0.3">
      <c r="A650">
        <v>649</v>
      </c>
      <c r="B650" t="s">
        <v>170</v>
      </c>
      <c r="C650" t="s">
        <v>850</v>
      </c>
      <c r="D650" t="str">
        <f>_xlfn.CONCAT(EmpTable[[#This Row],[First Name]],EmpTable[[#This Row],[Last Name]])</f>
        <v>MazinShumut</v>
      </c>
      <c r="E650" t="s">
        <v>32</v>
      </c>
      <c r="F650" s="1">
        <v>42952</v>
      </c>
      <c r="G650" s="2">
        <f ca="1">DATEDIF(EmpTable[[#This Row],[Start Date]],TODAY(),"Y")</f>
        <v>8</v>
      </c>
      <c r="H650" s="2" t="str" cm="1">
        <f t="array" aca="1" ref="H650" ca="1">_xlfn.IFS(G650&lt;=1,"Fresh",G650&lt;=3,"Junior",G650&lt;=7,"Teamlead",G650&gt;=7,"manger")</f>
        <v>manger</v>
      </c>
      <c r="I650" t="s">
        <v>41</v>
      </c>
      <c r="J650" t="s">
        <v>18</v>
      </c>
      <c r="K650" t="s">
        <v>36</v>
      </c>
      <c r="L650">
        <v>2091</v>
      </c>
      <c r="M650">
        <v>25092</v>
      </c>
      <c r="N650">
        <v>2</v>
      </c>
      <c r="O650" t="str" cm="1">
        <f t="array" ref="O650">_xlfn.IFS(EmpTable[[#This Row],[Job Rate]] &lt;=1,"LOW",N650&lt;=2,"LOW",N650&lt;=3,"MEDIUM",N650&gt;4,"HIGH")</f>
        <v>LOW</v>
      </c>
      <c r="P650">
        <v>0</v>
      </c>
      <c r="Q650">
        <v>0</v>
      </c>
      <c r="R650">
        <v>6</v>
      </c>
    </row>
    <row r="651" spans="1:18" x14ac:dyDescent="0.3">
      <c r="A651">
        <v>650</v>
      </c>
      <c r="B651" t="s">
        <v>20</v>
      </c>
      <c r="C651" t="s">
        <v>851</v>
      </c>
      <c r="D651" t="str">
        <f>_xlfn.CONCAT(EmpTable[[#This Row],[First Name]],EmpTable[[#This Row],[Last Name]])</f>
        <v>OmarZaqzuq</v>
      </c>
      <c r="E651" t="s">
        <v>32</v>
      </c>
      <c r="F651" s="1">
        <v>44011</v>
      </c>
      <c r="G651" s="2">
        <f ca="1">DATEDIF(EmpTable[[#This Row],[Start Date]],TODAY(),"Y")</f>
        <v>5</v>
      </c>
      <c r="H651" s="2" t="str" cm="1">
        <f t="array" aca="1" ref="H651" ca="1">_xlfn.IFS(G651&lt;=1,"Fresh",G651&lt;=3,"Junior",G651&lt;=7,"Teamlead",G651&gt;=7,"manger")</f>
        <v>Teamlead</v>
      </c>
      <c r="I651" t="s">
        <v>28</v>
      </c>
      <c r="J651" t="s">
        <v>29</v>
      </c>
      <c r="K651" t="s">
        <v>19</v>
      </c>
      <c r="L651">
        <v>1444</v>
      </c>
      <c r="M651">
        <v>17328</v>
      </c>
      <c r="N651">
        <v>5</v>
      </c>
      <c r="O651" t="str" cm="1">
        <f t="array" ref="O651">_xlfn.IFS(EmpTable[[#This Row],[Job Rate]] &lt;=1,"LOW",N651&lt;=2,"LOW",N651&lt;=3,"MEDIUM",N651&gt;4,"HIGH")</f>
        <v>HIGH</v>
      </c>
      <c r="P651">
        <v>3</v>
      </c>
      <c r="Q651">
        <v>0</v>
      </c>
      <c r="R651">
        <v>7</v>
      </c>
    </row>
    <row r="652" spans="1:18" x14ac:dyDescent="0.3">
      <c r="A652">
        <v>651</v>
      </c>
      <c r="B652" t="s">
        <v>852</v>
      </c>
      <c r="C652" t="s">
        <v>853</v>
      </c>
      <c r="D652" t="str">
        <f>_xlfn.CONCAT(EmpTable[[#This Row],[First Name]],EmpTable[[#This Row],[Last Name]])</f>
        <v>YasminEamir</v>
      </c>
      <c r="E652" t="s">
        <v>307</v>
      </c>
      <c r="F652" s="1">
        <v>42795</v>
      </c>
      <c r="G652" s="2">
        <f ca="1">DATEDIF(EmpTable[[#This Row],[Start Date]],TODAY(),"Y")</f>
        <v>9</v>
      </c>
      <c r="H652" s="2" t="str" cm="1">
        <f t="array" aca="1" ref="H652" ca="1">_xlfn.IFS(G652&lt;=1,"Fresh",G652&lt;=3,"Junior",G652&lt;=7,"Teamlead",G652&gt;=7,"manger")</f>
        <v>manger</v>
      </c>
      <c r="I652" t="s">
        <v>28</v>
      </c>
      <c r="J652" t="s">
        <v>18</v>
      </c>
      <c r="K652" t="s">
        <v>36</v>
      </c>
      <c r="L652">
        <v>2360</v>
      </c>
      <c r="M652">
        <v>28320</v>
      </c>
      <c r="N652">
        <v>4.5</v>
      </c>
      <c r="O652" t="str" cm="1">
        <f t="array" ref="O652">_xlfn.IFS(EmpTable[[#This Row],[Job Rate]] &lt;=1,"LOW",N652&lt;=2,"LOW",N652&lt;=3,"MEDIUM",N652&gt;4,"HIGH")</f>
        <v>HIGH</v>
      </c>
      <c r="P652">
        <v>0</v>
      </c>
      <c r="Q652">
        <v>0</v>
      </c>
      <c r="R652">
        <v>1</v>
      </c>
    </row>
    <row r="653" spans="1:18" x14ac:dyDescent="0.3">
      <c r="A653">
        <v>652</v>
      </c>
      <c r="B653" t="s">
        <v>33</v>
      </c>
      <c r="C653" t="s">
        <v>775</v>
      </c>
      <c r="D653" t="str">
        <f>_xlfn.CONCAT(EmpTable[[#This Row],[First Name]],EmpTable[[#This Row],[Last Name]])</f>
        <v>MuhamadHaydar</v>
      </c>
      <c r="E653" t="s">
        <v>32</v>
      </c>
      <c r="F653" s="1">
        <v>44177</v>
      </c>
      <c r="G653" s="2">
        <f ca="1">DATEDIF(EmpTable[[#This Row],[Start Date]],TODAY(),"Y")</f>
        <v>5</v>
      </c>
      <c r="H653" s="2" t="str" cm="1">
        <f t="array" aca="1" ref="H653" ca="1">_xlfn.IFS(G653&lt;=1,"Fresh",G653&lt;=3,"Junior",G653&lt;=7,"Teamlead",G653&gt;=7,"manger")</f>
        <v>Teamlead</v>
      </c>
      <c r="I653" t="s">
        <v>53</v>
      </c>
      <c r="J653" t="s">
        <v>29</v>
      </c>
      <c r="K653" t="s">
        <v>36</v>
      </c>
      <c r="L653">
        <v>2576</v>
      </c>
      <c r="M653">
        <v>30912</v>
      </c>
      <c r="N653">
        <v>1</v>
      </c>
      <c r="O653" t="str" cm="1">
        <f t="array" ref="O653">_xlfn.IFS(EmpTable[[#This Row],[Job Rate]] &lt;=1,"LOW",N653&lt;=2,"LOW",N653&lt;=3,"MEDIUM",N653&gt;4,"HIGH")</f>
        <v>LOW</v>
      </c>
      <c r="P653">
        <v>6</v>
      </c>
      <c r="Q653">
        <v>0</v>
      </c>
      <c r="R653">
        <v>6</v>
      </c>
    </row>
    <row r="654" spans="1:18" x14ac:dyDescent="0.3">
      <c r="A654">
        <v>653</v>
      </c>
      <c r="B654" t="s">
        <v>33</v>
      </c>
      <c r="C654" t="s">
        <v>854</v>
      </c>
      <c r="D654" t="str">
        <f>_xlfn.CONCAT(EmpTable[[#This Row],[First Name]],EmpTable[[#This Row],[Last Name]])</f>
        <v>MuhamadRatib</v>
      </c>
      <c r="E654" t="s">
        <v>32</v>
      </c>
      <c r="F654" s="1">
        <v>43793</v>
      </c>
      <c r="G654" s="2">
        <f ca="1">DATEDIF(EmpTable[[#This Row],[Start Date]],TODAY(),"Y")</f>
        <v>6</v>
      </c>
      <c r="H654" s="2" t="str" cm="1">
        <f t="array" aca="1" ref="H654" ca="1">_xlfn.IFS(G654&lt;=1,"Fresh",G654&lt;=3,"Junior",G654&lt;=7,"Teamlead",G654&gt;=7,"manger")</f>
        <v>Teamlead</v>
      </c>
      <c r="I654" t="s">
        <v>41</v>
      </c>
      <c r="J654" t="s">
        <v>18</v>
      </c>
      <c r="K654" t="s">
        <v>42</v>
      </c>
      <c r="L654">
        <v>2376</v>
      </c>
      <c r="M654">
        <v>28512</v>
      </c>
      <c r="N654">
        <v>2</v>
      </c>
      <c r="O654" t="str" cm="1">
        <f t="array" ref="O654">_xlfn.IFS(EmpTable[[#This Row],[Job Rate]] &lt;=1,"LOW",N654&lt;=2,"LOW",N654&lt;=3,"MEDIUM",N654&gt;4,"HIGH")</f>
        <v>LOW</v>
      </c>
      <c r="P654">
        <v>6</v>
      </c>
      <c r="Q654">
        <v>0</v>
      </c>
      <c r="R654">
        <v>57</v>
      </c>
    </row>
    <row r="655" spans="1:18" x14ac:dyDescent="0.3">
      <c r="A655">
        <v>654</v>
      </c>
      <c r="B655" t="s">
        <v>437</v>
      </c>
      <c r="C655" t="s">
        <v>329</v>
      </c>
      <c r="D655" t="str">
        <f>_xlfn.CONCAT(EmpTable[[#This Row],[First Name]],EmpTable[[#This Row],[Last Name]])</f>
        <v>MuayidSiedih</v>
      </c>
      <c r="E655" t="s">
        <v>32</v>
      </c>
      <c r="F655" s="1">
        <v>43681</v>
      </c>
      <c r="G655" s="2">
        <f ca="1">DATEDIF(EmpTable[[#This Row],[Start Date]],TODAY(),"Y")</f>
        <v>6</v>
      </c>
      <c r="H655" s="2" t="str" cm="1">
        <f t="array" aca="1" ref="H655" ca="1">_xlfn.IFS(G655&lt;=1,"Fresh",G655&lt;=3,"Junior",G655&lt;=7,"Teamlead",G655&gt;=7,"manger")</f>
        <v>Teamlead</v>
      </c>
      <c r="I655" t="s">
        <v>53</v>
      </c>
      <c r="J655" t="s">
        <v>29</v>
      </c>
      <c r="K655" t="s">
        <v>36</v>
      </c>
      <c r="L655">
        <v>2924</v>
      </c>
      <c r="M655">
        <v>35088</v>
      </c>
      <c r="N655">
        <v>4.5</v>
      </c>
      <c r="O655" t="str" cm="1">
        <f t="array" ref="O655">_xlfn.IFS(EmpTable[[#This Row],[Job Rate]] &lt;=1,"LOW",N655&lt;=2,"LOW",N655&lt;=3,"MEDIUM",N655&gt;4,"HIGH")</f>
        <v>HIGH</v>
      </c>
      <c r="P655">
        <v>0</v>
      </c>
      <c r="Q655">
        <v>0</v>
      </c>
      <c r="R655">
        <v>10</v>
      </c>
    </row>
    <row r="656" spans="1:18" x14ac:dyDescent="0.3">
      <c r="A656">
        <v>655</v>
      </c>
      <c r="B656" t="s">
        <v>357</v>
      </c>
      <c r="C656" t="s">
        <v>855</v>
      </c>
      <c r="D656" t="str">
        <f>_xlfn.CONCAT(EmpTable[[#This Row],[First Name]],EmpTable[[#This Row],[Last Name]])</f>
        <v>HusamAlhamd</v>
      </c>
      <c r="E656" t="s">
        <v>32</v>
      </c>
      <c r="F656" s="1">
        <v>42785</v>
      </c>
      <c r="G656" s="2">
        <f ca="1">DATEDIF(EmpTable[[#This Row],[Start Date]],TODAY(),"Y")</f>
        <v>9</v>
      </c>
      <c r="H656" s="2" t="str" cm="1">
        <f t="array" aca="1" ref="H656" ca="1">_xlfn.IFS(G656&lt;=1,"Fresh",G656&lt;=3,"Junior",G656&lt;=7,"Teamlead",G656&gt;=7,"manger")</f>
        <v>manger</v>
      </c>
      <c r="I656" t="s">
        <v>77</v>
      </c>
      <c r="J656" t="s">
        <v>22</v>
      </c>
      <c r="K656" t="s">
        <v>19</v>
      </c>
      <c r="L656">
        <v>2548</v>
      </c>
      <c r="M656">
        <v>30576</v>
      </c>
      <c r="N656">
        <v>1</v>
      </c>
      <c r="O656" t="str" cm="1">
        <f t="array" ref="O656">_xlfn.IFS(EmpTable[[#This Row],[Job Rate]] &lt;=1,"LOW",N656&lt;=2,"LOW",N656&lt;=3,"MEDIUM",N656&gt;4,"HIGH")</f>
        <v>LOW</v>
      </c>
      <c r="P656">
        <v>0</v>
      </c>
      <c r="Q656">
        <v>0</v>
      </c>
      <c r="R656">
        <v>10</v>
      </c>
    </row>
    <row r="657" spans="1:18" x14ac:dyDescent="0.3">
      <c r="A657">
        <v>656</v>
      </c>
      <c r="B657" t="s">
        <v>856</v>
      </c>
      <c r="C657" t="s">
        <v>857</v>
      </c>
      <c r="D657" t="str">
        <f>_xlfn.CONCAT(EmpTable[[#This Row],[First Name]],EmpTable[[#This Row],[Last Name]])</f>
        <v>AbdalkrimFadal</v>
      </c>
      <c r="E657" t="s">
        <v>32</v>
      </c>
      <c r="F657" s="1">
        <v>43852</v>
      </c>
      <c r="G657" s="2">
        <f ca="1">DATEDIF(EmpTable[[#This Row],[Start Date]],TODAY(),"Y")</f>
        <v>6</v>
      </c>
      <c r="H657" s="2" t="str" cm="1">
        <f t="array" aca="1" ref="H657" ca="1">_xlfn.IFS(G657&lt;=1,"Fresh",G657&lt;=3,"Junior",G657&lt;=7,"Teamlead",G657&gt;=7,"manger")</f>
        <v>Teamlead</v>
      </c>
      <c r="I657" t="s">
        <v>41</v>
      </c>
      <c r="J657" t="s">
        <v>22</v>
      </c>
      <c r="K657" t="s">
        <v>60</v>
      </c>
      <c r="L657">
        <v>841</v>
      </c>
      <c r="M657">
        <v>10092</v>
      </c>
      <c r="N657">
        <v>1</v>
      </c>
      <c r="O657" t="str" cm="1">
        <f t="array" ref="O657">_xlfn.IFS(EmpTable[[#This Row],[Job Rate]] &lt;=1,"LOW",N657&lt;=2,"LOW",N657&lt;=3,"MEDIUM",N657&gt;4,"HIGH")</f>
        <v>LOW</v>
      </c>
      <c r="P657">
        <v>4</v>
      </c>
      <c r="Q657">
        <v>0</v>
      </c>
      <c r="R657">
        <v>7</v>
      </c>
    </row>
    <row r="658" spans="1:18" x14ac:dyDescent="0.3">
      <c r="A658">
        <v>657</v>
      </c>
      <c r="B658" t="s">
        <v>56</v>
      </c>
      <c r="C658" t="s">
        <v>858</v>
      </c>
      <c r="D658" t="str">
        <f>_xlfn.CONCAT(EmpTable[[#This Row],[First Name]],EmpTable[[#This Row],[Last Name]])</f>
        <v>BayanEurnus</v>
      </c>
      <c r="E658" t="s">
        <v>307</v>
      </c>
      <c r="F658" s="1">
        <v>43966</v>
      </c>
      <c r="G658" s="2">
        <f ca="1">DATEDIF(EmpTable[[#This Row],[Start Date]],TODAY(),"Y")</f>
        <v>5</v>
      </c>
      <c r="H658" s="2" t="str" cm="1">
        <f t="array" aca="1" ref="H658" ca="1">_xlfn.IFS(G658&lt;=1,"Fresh",G658&lt;=3,"Junior",G658&lt;=7,"Teamlead",G658&gt;=7,"manger")</f>
        <v>Teamlead</v>
      </c>
      <c r="I658" t="s">
        <v>28</v>
      </c>
      <c r="J658" t="s">
        <v>18</v>
      </c>
      <c r="K658" t="s">
        <v>36</v>
      </c>
      <c r="L658">
        <v>3017</v>
      </c>
      <c r="M658">
        <v>36204</v>
      </c>
      <c r="N658">
        <v>3</v>
      </c>
      <c r="O658" t="str" cm="1">
        <f t="array" ref="O658">_xlfn.IFS(EmpTable[[#This Row],[Job Rate]] &lt;=1,"LOW",N658&lt;=2,"LOW",N658&lt;=3,"MEDIUM",N658&gt;4,"HIGH")</f>
        <v>MEDIUM</v>
      </c>
      <c r="P658">
        <v>0</v>
      </c>
      <c r="Q658">
        <v>0</v>
      </c>
      <c r="R658">
        <v>6</v>
      </c>
    </row>
    <row r="659" spans="1:18" x14ac:dyDescent="0.3">
      <c r="A659">
        <v>658</v>
      </c>
      <c r="B659" t="s">
        <v>859</v>
      </c>
      <c r="C659" t="s">
        <v>860</v>
      </c>
      <c r="D659" t="str">
        <f>_xlfn.CONCAT(EmpTable[[#This Row],[First Name]],EmpTable[[#This Row],[Last Name]])</f>
        <v>Abd AlmueiynEitaya</v>
      </c>
      <c r="E659" t="s">
        <v>32</v>
      </c>
      <c r="F659" s="1">
        <v>43126</v>
      </c>
      <c r="G659" s="2">
        <f ca="1">DATEDIF(EmpTable[[#This Row],[Start Date]],TODAY(),"Y")</f>
        <v>8</v>
      </c>
      <c r="H659" s="2" t="str" cm="1">
        <f t="array" aca="1" ref="H659" ca="1">_xlfn.IFS(G659&lt;=1,"Fresh",G659&lt;=3,"Junior",G659&lt;=7,"Teamlead",G659&gt;=7,"manger")</f>
        <v>manger</v>
      </c>
      <c r="I659" t="s">
        <v>53</v>
      </c>
      <c r="J659" t="s">
        <v>29</v>
      </c>
      <c r="K659" t="s">
        <v>36</v>
      </c>
      <c r="L659">
        <v>1077</v>
      </c>
      <c r="M659">
        <v>12924</v>
      </c>
      <c r="N659">
        <v>5</v>
      </c>
      <c r="O659" t="str" cm="1">
        <f t="array" ref="O659">_xlfn.IFS(EmpTable[[#This Row],[Job Rate]] &lt;=1,"LOW",N659&lt;=2,"LOW",N659&lt;=3,"MEDIUM",N659&gt;4,"HIGH")</f>
        <v>HIGH</v>
      </c>
      <c r="P659">
        <v>0</v>
      </c>
      <c r="Q659">
        <v>0</v>
      </c>
      <c r="R659">
        <v>9</v>
      </c>
    </row>
    <row r="660" spans="1:18" x14ac:dyDescent="0.3">
      <c r="A660">
        <v>659</v>
      </c>
      <c r="B660" t="s">
        <v>210</v>
      </c>
      <c r="C660" t="s">
        <v>861</v>
      </c>
      <c r="D660" t="str">
        <f>_xlfn.CONCAT(EmpTable[[#This Row],[First Name]],EmpTable[[#This Row],[Last Name]])</f>
        <v>SaharQisam</v>
      </c>
      <c r="E660" t="s">
        <v>307</v>
      </c>
      <c r="F660" s="1">
        <v>43223</v>
      </c>
      <c r="G660" s="2">
        <f ca="1">DATEDIF(EmpTable[[#This Row],[Start Date]],TODAY(),"Y")</f>
        <v>7</v>
      </c>
      <c r="H660" s="2" t="str" cm="1">
        <f t="array" aca="1" ref="H660" ca="1">_xlfn.IFS(G660&lt;=1,"Fresh",G660&lt;=3,"Junior",G660&lt;=7,"Teamlead",G660&gt;=7,"manger")</f>
        <v>Teamlead</v>
      </c>
      <c r="I660" t="s">
        <v>58</v>
      </c>
      <c r="J660" t="s">
        <v>18</v>
      </c>
      <c r="K660" t="s">
        <v>60</v>
      </c>
      <c r="L660">
        <v>3316</v>
      </c>
      <c r="M660">
        <v>39792</v>
      </c>
      <c r="N660">
        <v>4.5</v>
      </c>
      <c r="O660" t="str" cm="1">
        <f t="array" ref="O660">_xlfn.IFS(EmpTable[[#This Row],[Job Rate]] &lt;=1,"LOW",N660&lt;=2,"LOW",N660&lt;=3,"MEDIUM",N660&gt;4,"HIGH")</f>
        <v>HIGH</v>
      </c>
      <c r="P660">
        <v>0</v>
      </c>
      <c r="Q660">
        <v>0</v>
      </c>
      <c r="R660">
        <v>8</v>
      </c>
    </row>
    <row r="661" spans="1:18" x14ac:dyDescent="0.3">
      <c r="A661">
        <v>660</v>
      </c>
      <c r="B661" t="s">
        <v>111</v>
      </c>
      <c r="C661" t="s">
        <v>389</v>
      </c>
      <c r="D661" t="str">
        <f>_xlfn.CONCAT(EmpTable[[#This Row],[First Name]],EmpTable[[#This Row],[Last Name]])</f>
        <v>RafatMusaa</v>
      </c>
      <c r="E661" t="s">
        <v>32</v>
      </c>
      <c r="F661" s="1">
        <v>43442</v>
      </c>
      <c r="G661" s="2">
        <f ca="1">DATEDIF(EmpTable[[#This Row],[Start Date]],TODAY(),"Y")</f>
        <v>7</v>
      </c>
      <c r="H661" s="2" t="str" cm="1">
        <f t="array" aca="1" ref="H661" ca="1">_xlfn.IFS(G661&lt;=1,"Fresh",G661&lt;=3,"Junior",G661&lt;=7,"Teamlead",G661&gt;=7,"manger")</f>
        <v>Teamlead</v>
      </c>
      <c r="I661" t="s">
        <v>118</v>
      </c>
      <c r="J661" t="s">
        <v>48</v>
      </c>
      <c r="K661" t="s">
        <v>60</v>
      </c>
      <c r="L661">
        <v>2188</v>
      </c>
      <c r="M661">
        <v>26256</v>
      </c>
      <c r="N661">
        <v>4.5</v>
      </c>
      <c r="O661" t="str" cm="1">
        <f t="array" ref="O661">_xlfn.IFS(EmpTable[[#This Row],[Job Rate]] &lt;=1,"LOW",N661&lt;=2,"LOW",N661&lt;=3,"MEDIUM",N661&gt;4,"HIGH")</f>
        <v>HIGH</v>
      </c>
      <c r="P661">
        <v>5</v>
      </c>
      <c r="Q661">
        <v>0</v>
      </c>
      <c r="R661">
        <v>9</v>
      </c>
    </row>
    <row r="662" spans="1:18" x14ac:dyDescent="0.3">
      <c r="A662">
        <v>661</v>
      </c>
      <c r="B662" t="s">
        <v>862</v>
      </c>
      <c r="C662" t="s">
        <v>863</v>
      </c>
      <c r="D662" t="str">
        <f>_xlfn.CONCAT(EmpTable[[#This Row],[First Name]],EmpTable[[#This Row],[Last Name]])</f>
        <v>ShafiqAlmalih</v>
      </c>
      <c r="E662" t="s">
        <v>32</v>
      </c>
      <c r="F662" s="1">
        <v>43500</v>
      </c>
      <c r="G662" s="2">
        <f ca="1">DATEDIF(EmpTable[[#This Row],[Start Date]],TODAY(),"Y")</f>
        <v>7</v>
      </c>
      <c r="H662" s="2" t="str" cm="1">
        <f t="array" aca="1" ref="H662" ca="1">_xlfn.IFS(G662&lt;=1,"Fresh",G662&lt;=3,"Junior",G662&lt;=7,"Teamlead",G662&gt;=7,"manger")</f>
        <v>Teamlead</v>
      </c>
      <c r="I662" t="s">
        <v>118</v>
      </c>
      <c r="J662" t="s">
        <v>29</v>
      </c>
      <c r="K662" t="s">
        <v>60</v>
      </c>
      <c r="L662">
        <v>1684</v>
      </c>
      <c r="M662">
        <v>20208</v>
      </c>
      <c r="N662">
        <v>5</v>
      </c>
      <c r="O662" t="str" cm="1">
        <f t="array" ref="O662">_xlfn.IFS(EmpTable[[#This Row],[Job Rate]] &lt;=1,"LOW",N662&lt;=2,"LOW",N662&lt;=3,"MEDIUM",N662&gt;4,"HIGH")</f>
        <v>HIGH</v>
      </c>
      <c r="P662">
        <v>0</v>
      </c>
      <c r="Q662">
        <v>0</v>
      </c>
      <c r="R662">
        <v>6</v>
      </c>
    </row>
    <row r="663" spans="1:18" x14ac:dyDescent="0.3">
      <c r="A663">
        <v>662</v>
      </c>
      <c r="B663" t="s">
        <v>864</v>
      </c>
      <c r="C663" t="s">
        <v>865</v>
      </c>
      <c r="D663" t="str">
        <f>_xlfn.CONCAT(EmpTable[[#This Row],[First Name]],EmpTable[[#This Row],[Last Name]])</f>
        <v>RaghadAghasi</v>
      </c>
      <c r="E663" t="s">
        <v>307</v>
      </c>
      <c r="F663" s="1">
        <v>43783</v>
      </c>
      <c r="G663" s="2">
        <f ca="1">DATEDIF(EmpTable[[#This Row],[Start Date]],TODAY(),"Y")</f>
        <v>6</v>
      </c>
      <c r="H663" s="2" t="str" cm="1">
        <f t="array" aca="1" ref="H663" ca="1">_xlfn.IFS(G663&lt;=1,"Fresh",G663&lt;=3,"Junior",G663&lt;=7,"Teamlead",G663&gt;=7,"manger")</f>
        <v>Teamlead</v>
      </c>
      <c r="I663" t="s">
        <v>41</v>
      </c>
      <c r="J663" t="s">
        <v>18</v>
      </c>
      <c r="K663" t="s">
        <v>42</v>
      </c>
      <c r="L663">
        <v>716</v>
      </c>
      <c r="M663">
        <v>8592</v>
      </c>
      <c r="N663">
        <v>3</v>
      </c>
      <c r="O663" t="str" cm="1">
        <f t="array" ref="O663">_xlfn.IFS(EmpTable[[#This Row],[Job Rate]] &lt;=1,"LOW",N663&lt;=2,"LOW",N663&lt;=3,"MEDIUM",N663&gt;4,"HIGH")</f>
        <v>MEDIUM</v>
      </c>
      <c r="P663">
        <v>0</v>
      </c>
      <c r="Q663">
        <v>0</v>
      </c>
      <c r="R663">
        <v>8</v>
      </c>
    </row>
    <row r="664" spans="1:18" x14ac:dyDescent="0.3">
      <c r="A664">
        <v>663</v>
      </c>
      <c r="B664" t="s">
        <v>413</v>
      </c>
      <c r="C664" t="s">
        <v>476</v>
      </c>
      <c r="D664" t="str">
        <f>_xlfn.CONCAT(EmpTable[[#This Row],[First Name]],EmpTable[[#This Row],[Last Name]])</f>
        <v>RubaAlhumwi</v>
      </c>
      <c r="E664" t="s">
        <v>307</v>
      </c>
      <c r="F664" s="1">
        <v>43604</v>
      </c>
      <c r="G664" s="2">
        <f ca="1">DATEDIF(EmpTable[[#This Row],[Start Date]],TODAY(),"Y")</f>
        <v>6</v>
      </c>
      <c r="H664" s="2" t="str" cm="1">
        <f t="array" aca="1" ref="H664" ca="1">_xlfn.IFS(G664&lt;=1,"Fresh",G664&lt;=3,"Junior",G664&lt;=7,"Teamlead",G664&gt;=7,"manger")</f>
        <v>Teamlead</v>
      </c>
      <c r="I664" t="s">
        <v>28</v>
      </c>
      <c r="J664" t="s">
        <v>18</v>
      </c>
      <c r="K664" t="s">
        <v>36</v>
      </c>
      <c r="L664">
        <v>2703</v>
      </c>
      <c r="M664">
        <v>32436</v>
      </c>
      <c r="N664">
        <v>2</v>
      </c>
      <c r="O664" t="str" cm="1">
        <f t="array" ref="O664">_xlfn.IFS(EmpTable[[#This Row],[Job Rate]] &lt;=1,"LOW",N664&lt;=2,"LOW",N664&lt;=3,"MEDIUM",N664&gt;4,"HIGH")</f>
        <v>LOW</v>
      </c>
      <c r="P664">
        <v>0</v>
      </c>
      <c r="Q664">
        <v>0</v>
      </c>
      <c r="R664">
        <v>4</v>
      </c>
    </row>
    <row r="665" spans="1:18" x14ac:dyDescent="0.3">
      <c r="A665">
        <v>664</v>
      </c>
      <c r="B665" t="s">
        <v>71</v>
      </c>
      <c r="C665" t="s">
        <v>866</v>
      </c>
      <c r="D665" t="str">
        <f>_xlfn.CONCAT(EmpTable[[#This Row],[First Name]],EmpTable[[#This Row],[Last Name]])</f>
        <v>BilalAlqalish</v>
      </c>
      <c r="E665" t="s">
        <v>32</v>
      </c>
      <c r="F665" s="1">
        <v>43289</v>
      </c>
      <c r="G665" s="2">
        <f ca="1">DATEDIF(EmpTable[[#This Row],[Start Date]],TODAY(),"Y")</f>
        <v>7</v>
      </c>
      <c r="H665" s="2" t="str" cm="1">
        <f t="array" aca="1" ref="H665" ca="1">_xlfn.IFS(G665&lt;=1,"Fresh",G665&lt;=3,"Junior",G665&lt;=7,"Teamlead",G665&gt;=7,"manger")</f>
        <v>Teamlead</v>
      </c>
      <c r="I665" t="s">
        <v>73</v>
      </c>
      <c r="J665" t="s">
        <v>18</v>
      </c>
      <c r="K665" t="s">
        <v>898</v>
      </c>
      <c r="L665">
        <v>2361</v>
      </c>
      <c r="M665">
        <v>28332</v>
      </c>
      <c r="N665">
        <v>5</v>
      </c>
      <c r="O665" t="str" cm="1">
        <f t="array" ref="O665">_xlfn.IFS(EmpTable[[#This Row],[Job Rate]] &lt;=1,"LOW",N665&lt;=2,"LOW",N665&lt;=3,"MEDIUM",N665&gt;4,"HIGH")</f>
        <v>HIGH</v>
      </c>
      <c r="P665">
        <v>0</v>
      </c>
      <c r="Q665">
        <v>0</v>
      </c>
      <c r="R665">
        <v>1</v>
      </c>
    </row>
    <row r="666" spans="1:18" x14ac:dyDescent="0.3">
      <c r="A666">
        <v>665</v>
      </c>
      <c r="B666" t="s">
        <v>33</v>
      </c>
      <c r="C666" t="s">
        <v>142</v>
      </c>
      <c r="D666" t="str">
        <f>_xlfn.CONCAT(EmpTable[[#This Row],[First Name]],EmpTable[[#This Row],[Last Name]])</f>
        <v>MuhamadAlmisri</v>
      </c>
      <c r="E666" t="s">
        <v>32</v>
      </c>
      <c r="F666" s="1">
        <v>44141</v>
      </c>
      <c r="G666" s="2">
        <f ca="1">DATEDIF(EmpTable[[#This Row],[Start Date]],TODAY(),"Y")</f>
        <v>5</v>
      </c>
      <c r="H666" s="2" t="str" cm="1">
        <f t="array" aca="1" ref="H666" ca="1">_xlfn.IFS(G666&lt;=1,"Fresh",G666&lt;=3,"Junior",G666&lt;=7,"Teamlead",G666&gt;=7,"manger")</f>
        <v>Teamlead</v>
      </c>
      <c r="I666" t="s">
        <v>28</v>
      </c>
      <c r="J666" t="s">
        <v>18</v>
      </c>
      <c r="K666" t="s">
        <v>42</v>
      </c>
      <c r="L666">
        <v>1797</v>
      </c>
      <c r="M666">
        <v>21564</v>
      </c>
      <c r="N666">
        <v>1</v>
      </c>
      <c r="O666" t="str" cm="1">
        <f t="array" ref="O666">_xlfn.IFS(EmpTable[[#This Row],[Job Rate]] &lt;=1,"LOW",N666&lt;=2,"LOW",N666&lt;=3,"MEDIUM",N666&gt;4,"HIGH")</f>
        <v>LOW</v>
      </c>
      <c r="P666">
        <v>6</v>
      </c>
      <c r="Q666">
        <v>0</v>
      </c>
      <c r="R666">
        <v>7</v>
      </c>
    </row>
    <row r="667" spans="1:18" x14ac:dyDescent="0.3">
      <c r="A667">
        <v>666</v>
      </c>
      <c r="B667" t="s">
        <v>64</v>
      </c>
      <c r="C667" t="s">
        <v>867</v>
      </c>
      <c r="D667" t="str">
        <f>_xlfn.CONCAT(EmpTable[[#This Row],[First Name]],EmpTable[[#This Row],[Last Name]])</f>
        <v>HusaynHawria</v>
      </c>
      <c r="E667" t="s">
        <v>32</v>
      </c>
      <c r="F667" s="1">
        <v>43995</v>
      </c>
      <c r="G667" s="2">
        <f ca="1">DATEDIF(EmpTable[[#This Row],[Start Date]],TODAY(),"Y")</f>
        <v>5</v>
      </c>
      <c r="H667" s="2" t="str" cm="1">
        <f t="array" aca="1" ref="H667" ca="1">_xlfn.IFS(G667&lt;=1,"Fresh",G667&lt;=3,"Junior",G667&lt;=7,"Teamlead",G667&gt;=7,"manger")</f>
        <v>Teamlead</v>
      </c>
      <c r="I667" t="s">
        <v>93</v>
      </c>
      <c r="J667" t="s">
        <v>18</v>
      </c>
      <c r="K667" t="s">
        <v>898</v>
      </c>
      <c r="L667">
        <v>2252</v>
      </c>
      <c r="M667">
        <v>27024</v>
      </c>
      <c r="N667">
        <v>3</v>
      </c>
      <c r="O667" t="str" cm="1">
        <f t="array" ref="O667">_xlfn.IFS(EmpTable[[#This Row],[Job Rate]] &lt;=1,"LOW",N667&lt;=2,"LOW",N667&lt;=3,"MEDIUM",N667&gt;4,"HIGH")</f>
        <v>MEDIUM</v>
      </c>
      <c r="P667">
        <v>0</v>
      </c>
      <c r="Q667">
        <v>0</v>
      </c>
      <c r="R667">
        <v>2</v>
      </c>
    </row>
    <row r="668" spans="1:18" x14ac:dyDescent="0.3">
      <c r="A668">
        <v>667</v>
      </c>
      <c r="B668" t="s">
        <v>503</v>
      </c>
      <c r="C668" t="s">
        <v>868</v>
      </c>
      <c r="D668" t="str">
        <f>_xlfn.CONCAT(EmpTable[[#This Row],[First Name]],EmpTable[[#This Row],[Last Name]])</f>
        <v>SafaAlshahadat</v>
      </c>
      <c r="E668" t="s">
        <v>307</v>
      </c>
      <c r="F668" s="1">
        <v>43373</v>
      </c>
      <c r="G668" s="2">
        <f ca="1">DATEDIF(EmpTable[[#This Row],[Start Date]],TODAY(),"Y")</f>
        <v>7</v>
      </c>
      <c r="H668" s="2" t="str" cm="1">
        <f t="array" aca="1" ref="H668" ca="1">_xlfn.IFS(G668&lt;=1,"Fresh",G668&lt;=3,"Junior",G668&lt;=7,"Teamlead",G668&gt;=7,"manger")</f>
        <v>Teamlead</v>
      </c>
      <c r="I668" t="s">
        <v>28</v>
      </c>
      <c r="J668" t="s">
        <v>18</v>
      </c>
      <c r="K668" t="s">
        <v>36</v>
      </c>
      <c r="L668">
        <v>2486</v>
      </c>
      <c r="M668">
        <v>29832</v>
      </c>
      <c r="N668">
        <v>5</v>
      </c>
      <c r="O668" t="str" cm="1">
        <f t="array" ref="O668">_xlfn.IFS(EmpTable[[#This Row],[Job Rate]] &lt;=1,"LOW",N668&lt;=2,"LOW",N668&lt;=3,"MEDIUM",N668&gt;4,"HIGH")</f>
        <v>HIGH</v>
      </c>
      <c r="P668">
        <v>5</v>
      </c>
      <c r="Q668">
        <v>2</v>
      </c>
      <c r="R668">
        <v>9</v>
      </c>
    </row>
    <row r="669" spans="1:18" x14ac:dyDescent="0.3">
      <c r="A669">
        <v>668</v>
      </c>
      <c r="B669" t="s">
        <v>30</v>
      </c>
      <c r="C669" t="s">
        <v>869</v>
      </c>
      <c r="D669" t="str">
        <f>_xlfn.CONCAT(EmpTable[[#This Row],[First Name]],EmpTable[[#This Row],[Last Name]])</f>
        <v>AhmadAldiyk</v>
      </c>
      <c r="E669" t="s">
        <v>32</v>
      </c>
      <c r="F669" s="1">
        <v>43995</v>
      </c>
      <c r="G669" s="2">
        <f ca="1">DATEDIF(EmpTable[[#This Row],[Start Date]],TODAY(),"Y")</f>
        <v>5</v>
      </c>
      <c r="H669" s="2" t="str" cm="1">
        <f t="array" aca="1" ref="H669" ca="1">_xlfn.IFS(G669&lt;=1,"Fresh",G669&lt;=3,"Junior",G669&lt;=7,"Teamlead",G669&gt;=7,"manger")</f>
        <v>Teamlead</v>
      </c>
      <c r="I669" t="s">
        <v>28</v>
      </c>
      <c r="J669" t="s">
        <v>18</v>
      </c>
      <c r="K669" t="s">
        <v>36</v>
      </c>
      <c r="L669">
        <v>1197</v>
      </c>
      <c r="M669">
        <v>14364</v>
      </c>
      <c r="N669">
        <v>2</v>
      </c>
      <c r="O669" t="str" cm="1">
        <f t="array" ref="O669">_xlfn.IFS(EmpTable[[#This Row],[Job Rate]] &lt;=1,"LOW",N669&lt;=2,"LOW",N669&lt;=3,"MEDIUM",N669&gt;4,"HIGH")</f>
        <v>LOW</v>
      </c>
      <c r="P669">
        <v>4</v>
      </c>
      <c r="Q669">
        <v>0</v>
      </c>
      <c r="R669">
        <v>8</v>
      </c>
    </row>
    <row r="670" spans="1:18" x14ac:dyDescent="0.3">
      <c r="A670">
        <v>669</v>
      </c>
      <c r="B670" t="s">
        <v>870</v>
      </c>
      <c r="C670" t="s">
        <v>871</v>
      </c>
      <c r="D670" t="str">
        <f>_xlfn.CONCAT(EmpTable[[#This Row],[First Name]],EmpTable[[#This Row],[Last Name]])</f>
        <v>HindAlmueasaeas</v>
      </c>
      <c r="E670" t="s">
        <v>307</v>
      </c>
      <c r="F670" s="1">
        <v>43590</v>
      </c>
      <c r="G670" s="2">
        <f ca="1">DATEDIF(EmpTable[[#This Row],[Start Date]],TODAY(),"Y")</f>
        <v>6</v>
      </c>
      <c r="H670" s="2" t="str" cm="1">
        <f t="array" aca="1" ref="H670" ca="1">_xlfn.IFS(G670&lt;=1,"Fresh",G670&lt;=3,"Junior",G670&lt;=7,"Teamlead",G670&gt;=7,"manger")</f>
        <v>Teamlead</v>
      </c>
      <c r="I670" t="s">
        <v>53</v>
      </c>
      <c r="J670" t="s">
        <v>22</v>
      </c>
      <c r="K670" t="s">
        <v>36</v>
      </c>
      <c r="L670">
        <v>3389</v>
      </c>
      <c r="M670">
        <v>40668</v>
      </c>
      <c r="N670">
        <v>3</v>
      </c>
      <c r="O670" t="str" cm="1">
        <f t="array" ref="O670">_xlfn.IFS(EmpTable[[#This Row],[Job Rate]] &lt;=1,"LOW",N670&lt;=2,"LOW",N670&lt;=3,"MEDIUM",N670&gt;4,"HIGH")</f>
        <v>MEDIUM</v>
      </c>
      <c r="P670">
        <v>1</v>
      </c>
      <c r="Q670">
        <v>0</v>
      </c>
      <c r="R670">
        <v>7</v>
      </c>
    </row>
    <row r="671" spans="1:18" x14ac:dyDescent="0.3">
      <c r="A671">
        <v>670</v>
      </c>
      <c r="B671" t="s">
        <v>215</v>
      </c>
      <c r="C671" t="s">
        <v>872</v>
      </c>
      <c r="D671" t="str">
        <f>_xlfn.CONCAT(EmpTable[[#This Row],[First Name]],EmpTable[[#This Row],[Last Name]])</f>
        <v>DaniaEarmush</v>
      </c>
      <c r="E671" t="s">
        <v>307</v>
      </c>
      <c r="F671" s="1">
        <v>43800</v>
      </c>
      <c r="G671" s="2">
        <f ca="1">DATEDIF(EmpTable[[#This Row],[Start Date]],TODAY(),"Y")</f>
        <v>6</v>
      </c>
      <c r="H671" s="2" t="str" cm="1">
        <f t="array" aca="1" ref="H671" ca="1">_xlfn.IFS(G671&lt;=1,"Fresh",G671&lt;=3,"Junior",G671&lt;=7,"Teamlead",G671&gt;=7,"manger")</f>
        <v>Teamlead</v>
      </c>
      <c r="I671" t="s">
        <v>35</v>
      </c>
      <c r="J671" t="s">
        <v>29</v>
      </c>
      <c r="K671" t="s">
        <v>42</v>
      </c>
      <c r="L671">
        <v>2760</v>
      </c>
      <c r="M671">
        <v>33120</v>
      </c>
      <c r="N671">
        <v>1</v>
      </c>
      <c r="O671" t="str" cm="1">
        <f t="array" ref="O671">_xlfn.IFS(EmpTable[[#This Row],[Job Rate]] &lt;=1,"LOW",N671&lt;=2,"LOW",N671&lt;=3,"MEDIUM",N671&gt;4,"HIGH")</f>
        <v>LOW</v>
      </c>
      <c r="P671">
        <v>6</v>
      </c>
      <c r="Q671">
        <v>6</v>
      </c>
      <c r="R671">
        <v>1</v>
      </c>
    </row>
    <row r="672" spans="1:18" x14ac:dyDescent="0.3">
      <c r="A672">
        <v>671</v>
      </c>
      <c r="B672" t="s">
        <v>213</v>
      </c>
      <c r="C672" t="s">
        <v>873</v>
      </c>
      <c r="D672" t="str">
        <f>_xlfn.CONCAT(EmpTable[[#This Row],[First Name]],EmpTable[[#This Row],[Last Name]])</f>
        <v>AylyBahriin</v>
      </c>
      <c r="E672" t="s">
        <v>32</v>
      </c>
      <c r="F672" s="1">
        <v>42992</v>
      </c>
      <c r="G672" s="2">
        <f ca="1">DATEDIF(EmpTable[[#This Row],[Start Date]],TODAY(),"Y")</f>
        <v>8</v>
      </c>
      <c r="H672" s="2" t="str" cm="1">
        <f t="array" aca="1" ref="H672" ca="1">_xlfn.IFS(G672&lt;=1,"Fresh",G672&lt;=3,"Junior",G672&lt;=7,"Teamlead",G672&gt;=7,"manger")</f>
        <v>manger</v>
      </c>
      <c r="I672" t="s">
        <v>88</v>
      </c>
      <c r="J672" t="s">
        <v>22</v>
      </c>
      <c r="K672" t="s">
        <v>42</v>
      </c>
      <c r="L672">
        <v>1232</v>
      </c>
      <c r="M672">
        <v>14784</v>
      </c>
      <c r="N672">
        <v>5</v>
      </c>
      <c r="O672" t="str" cm="1">
        <f t="array" ref="O672">_xlfn.IFS(EmpTable[[#This Row],[Job Rate]] &lt;=1,"LOW",N672&lt;=2,"LOW",N672&lt;=3,"MEDIUM",N672&gt;4,"HIGH")</f>
        <v>HIGH</v>
      </c>
      <c r="P672">
        <v>3</v>
      </c>
      <c r="Q672">
        <v>0</v>
      </c>
      <c r="R672">
        <v>10</v>
      </c>
    </row>
    <row r="673" spans="1:18" x14ac:dyDescent="0.3">
      <c r="A673">
        <v>672</v>
      </c>
      <c r="B673" t="s">
        <v>606</v>
      </c>
      <c r="C673" t="s">
        <v>874</v>
      </c>
      <c r="D673" t="str">
        <f>_xlfn.CONCAT(EmpTable[[#This Row],[First Name]],EmpTable[[#This Row],[Last Name]])</f>
        <v>JihanNadir</v>
      </c>
      <c r="E673" t="s">
        <v>307</v>
      </c>
      <c r="F673" s="1">
        <v>43573</v>
      </c>
      <c r="G673" s="2">
        <f ca="1">DATEDIF(EmpTable[[#This Row],[Start Date]],TODAY(),"Y")</f>
        <v>6</v>
      </c>
      <c r="H673" s="2" t="str" cm="1">
        <f t="array" aca="1" ref="H673" ca="1">_xlfn.IFS(G673&lt;=1,"Fresh",G673&lt;=3,"Junior",G673&lt;=7,"Teamlead",G673&gt;=7,"manger")</f>
        <v>Teamlead</v>
      </c>
      <c r="I673" t="s">
        <v>53</v>
      </c>
      <c r="J673" t="s">
        <v>29</v>
      </c>
      <c r="K673" t="s">
        <v>36</v>
      </c>
      <c r="L673">
        <v>1045</v>
      </c>
      <c r="M673">
        <v>12540</v>
      </c>
      <c r="N673">
        <v>5</v>
      </c>
      <c r="O673" t="str" cm="1">
        <f t="array" ref="O673">_xlfn.IFS(EmpTable[[#This Row],[Job Rate]] &lt;=1,"LOW",N673&lt;=2,"LOW",N673&lt;=3,"MEDIUM",N673&gt;4,"HIGH")</f>
        <v>HIGH</v>
      </c>
      <c r="P673">
        <v>6</v>
      </c>
      <c r="Q673">
        <v>0</v>
      </c>
      <c r="R673">
        <v>4</v>
      </c>
    </row>
    <row r="674" spans="1:18" x14ac:dyDescent="0.3">
      <c r="A674">
        <v>673</v>
      </c>
      <c r="B674" t="s">
        <v>33</v>
      </c>
      <c r="C674" t="s">
        <v>875</v>
      </c>
      <c r="D674" t="str">
        <f>_xlfn.CONCAT(EmpTable[[#This Row],[First Name]],EmpTable[[#This Row],[Last Name]])</f>
        <v>MuhamadSharif Aldaghly</v>
      </c>
      <c r="E674" t="s">
        <v>32</v>
      </c>
      <c r="F674" s="1">
        <v>43104</v>
      </c>
      <c r="G674" s="2">
        <f ca="1">DATEDIF(EmpTable[[#This Row],[Start Date]],TODAY(),"Y")</f>
        <v>8</v>
      </c>
      <c r="H674" s="2" t="str" cm="1">
        <f t="array" aca="1" ref="H674" ca="1">_xlfn.IFS(G674&lt;=1,"Fresh",G674&lt;=3,"Junior",G674&lt;=7,"Teamlead",G674&gt;=7,"manger")</f>
        <v>manger</v>
      </c>
      <c r="I674" t="s">
        <v>50</v>
      </c>
      <c r="J674" t="s">
        <v>18</v>
      </c>
      <c r="K674" t="s">
        <v>19</v>
      </c>
      <c r="L674">
        <v>3257</v>
      </c>
      <c r="M674">
        <v>39084</v>
      </c>
      <c r="N674">
        <v>3</v>
      </c>
      <c r="O674" t="str" cm="1">
        <f t="array" ref="O674">_xlfn.IFS(EmpTable[[#This Row],[Job Rate]] &lt;=1,"LOW",N674&lt;=2,"LOW",N674&lt;=3,"MEDIUM",N674&gt;4,"HIGH")</f>
        <v>MEDIUM</v>
      </c>
      <c r="P674">
        <v>0</v>
      </c>
      <c r="Q674">
        <v>0</v>
      </c>
      <c r="R674">
        <v>6</v>
      </c>
    </row>
    <row r="675" spans="1:18" x14ac:dyDescent="0.3">
      <c r="A675">
        <v>674</v>
      </c>
      <c r="B675" t="s">
        <v>876</v>
      </c>
      <c r="C675" t="s">
        <v>877</v>
      </c>
      <c r="D675" t="str">
        <f>_xlfn.CONCAT(EmpTable[[#This Row],[First Name]],EmpTable[[#This Row],[Last Name]])</f>
        <v>Emarabwalsibae</v>
      </c>
      <c r="E675" t="s">
        <v>307</v>
      </c>
      <c r="F675" s="1">
        <v>43160</v>
      </c>
      <c r="G675" s="2">
        <f ca="1">DATEDIF(EmpTable[[#This Row],[Start Date]],TODAY(),"Y")</f>
        <v>8</v>
      </c>
      <c r="H675" s="2" t="str" cm="1">
        <f t="array" aca="1" ref="H675" ca="1">_xlfn.IFS(G675&lt;=1,"Fresh",G675&lt;=3,"Junior",G675&lt;=7,"Teamlead",G675&gt;=7,"manger")</f>
        <v>manger</v>
      </c>
      <c r="I675" t="s">
        <v>53</v>
      </c>
      <c r="J675" t="s">
        <v>18</v>
      </c>
      <c r="K675" t="s">
        <v>60</v>
      </c>
      <c r="L675">
        <v>3026</v>
      </c>
      <c r="M675">
        <v>36312</v>
      </c>
      <c r="N675">
        <v>3</v>
      </c>
      <c r="O675" t="str" cm="1">
        <f t="array" ref="O675">_xlfn.IFS(EmpTable[[#This Row],[Job Rate]] &lt;=1,"LOW",N675&lt;=2,"LOW",N675&lt;=3,"MEDIUM",N675&gt;4,"HIGH")</f>
        <v>MEDIUM</v>
      </c>
      <c r="P675">
        <v>4</v>
      </c>
      <c r="Q675">
        <v>0</v>
      </c>
      <c r="R675">
        <v>1</v>
      </c>
    </row>
    <row r="676" spans="1:18" x14ac:dyDescent="0.3">
      <c r="A676">
        <v>675</v>
      </c>
      <c r="B676" t="s">
        <v>878</v>
      </c>
      <c r="C676" t="s">
        <v>879</v>
      </c>
      <c r="D676" t="str">
        <f>_xlfn.CONCAT(EmpTable[[#This Row],[First Name]],EmpTable[[#This Row],[Last Name]])</f>
        <v>RazzanAlhusayni</v>
      </c>
      <c r="E676" t="s">
        <v>307</v>
      </c>
      <c r="F676" s="1">
        <v>43766</v>
      </c>
      <c r="G676" s="2">
        <f ca="1">DATEDIF(EmpTable[[#This Row],[Start Date]],TODAY(),"Y")</f>
        <v>6</v>
      </c>
      <c r="H676" s="2" t="str" cm="1">
        <f t="array" aca="1" ref="H676" ca="1">_xlfn.IFS(G676&lt;=1,"Fresh",G676&lt;=3,"Junior",G676&lt;=7,"Teamlead",G676&gt;=7,"manger")</f>
        <v>Teamlead</v>
      </c>
      <c r="I676" t="s">
        <v>77</v>
      </c>
      <c r="J676" t="s">
        <v>18</v>
      </c>
      <c r="K676" t="s">
        <v>36</v>
      </c>
      <c r="L676">
        <v>1898</v>
      </c>
      <c r="M676">
        <v>22776</v>
      </c>
      <c r="N676">
        <v>4.5</v>
      </c>
      <c r="O676" t="str" cm="1">
        <f t="array" ref="O676">_xlfn.IFS(EmpTable[[#This Row],[Job Rate]] &lt;=1,"LOW",N676&lt;=2,"LOW",N676&lt;=3,"MEDIUM",N676&gt;4,"HIGH")</f>
        <v>HIGH</v>
      </c>
      <c r="P676">
        <v>1</v>
      </c>
      <c r="Q676">
        <v>0</v>
      </c>
      <c r="R676">
        <v>2</v>
      </c>
    </row>
    <row r="677" spans="1:18" x14ac:dyDescent="0.3">
      <c r="A677">
        <v>676</v>
      </c>
      <c r="B677" t="s">
        <v>880</v>
      </c>
      <c r="C677" t="s">
        <v>881</v>
      </c>
      <c r="D677" t="str">
        <f>_xlfn.CONCAT(EmpTable[[#This Row],[First Name]],EmpTable[[#This Row],[Last Name]])</f>
        <v>GhassanAljamal</v>
      </c>
      <c r="E677" t="s">
        <v>32</v>
      </c>
      <c r="F677" s="1">
        <v>43275</v>
      </c>
      <c r="G677" s="2">
        <f ca="1">DATEDIF(EmpTable[[#This Row],[Start Date]],TODAY(),"Y")</f>
        <v>7</v>
      </c>
      <c r="H677" s="2" t="str" cm="1">
        <f t="array" aca="1" ref="H677" ca="1">_xlfn.IFS(G677&lt;=1,"Fresh",G677&lt;=3,"Junior",G677&lt;=7,"Teamlead",G677&gt;=7,"manger")</f>
        <v>Teamlead</v>
      </c>
      <c r="I677" t="s">
        <v>28</v>
      </c>
      <c r="J677" t="s">
        <v>18</v>
      </c>
      <c r="K677" t="s">
        <v>60</v>
      </c>
      <c r="L677">
        <v>2778</v>
      </c>
      <c r="M677">
        <v>33336</v>
      </c>
      <c r="N677">
        <v>3</v>
      </c>
      <c r="O677" t="str" cm="1">
        <f t="array" ref="O677">_xlfn.IFS(EmpTable[[#This Row],[Job Rate]] &lt;=1,"LOW",N677&lt;=2,"LOW",N677&lt;=3,"MEDIUM",N677&gt;4,"HIGH")</f>
        <v>MEDIUM</v>
      </c>
      <c r="P677">
        <v>2</v>
      </c>
      <c r="Q677">
        <v>0</v>
      </c>
      <c r="R677">
        <v>20</v>
      </c>
    </row>
    <row r="678" spans="1:18" x14ac:dyDescent="0.3">
      <c r="A678">
        <v>677</v>
      </c>
      <c r="B678" t="s">
        <v>20</v>
      </c>
      <c r="C678" t="s">
        <v>882</v>
      </c>
      <c r="D678" t="str">
        <f>_xlfn.CONCAT(EmpTable[[#This Row],[First Name]],EmpTable[[#This Row],[Last Name]])</f>
        <v>OmarKahulus</v>
      </c>
      <c r="E678" t="s">
        <v>32</v>
      </c>
      <c r="F678" s="1">
        <v>43104</v>
      </c>
      <c r="G678" s="2">
        <f ca="1">DATEDIF(EmpTable[[#This Row],[Start Date]],TODAY(),"Y")</f>
        <v>8</v>
      </c>
      <c r="H678" s="2" t="str" cm="1">
        <f t="array" aca="1" ref="H678" ca="1">_xlfn.IFS(G678&lt;=1,"Fresh",G678&lt;=3,"Junior",G678&lt;=7,"Teamlead",G678&gt;=7,"manger")</f>
        <v>manger</v>
      </c>
      <c r="I678" t="s">
        <v>77</v>
      </c>
      <c r="J678" t="s">
        <v>48</v>
      </c>
      <c r="K678" t="s">
        <v>36</v>
      </c>
      <c r="L678">
        <v>2880</v>
      </c>
      <c r="M678">
        <v>34560</v>
      </c>
      <c r="N678">
        <v>2</v>
      </c>
      <c r="O678" t="str" cm="1">
        <f t="array" ref="O678">_xlfn.IFS(EmpTable[[#This Row],[Job Rate]] &lt;=1,"LOW",N678&lt;=2,"LOW",N678&lt;=3,"MEDIUM",N678&gt;4,"HIGH")</f>
        <v>LOW</v>
      </c>
      <c r="P678">
        <v>4</v>
      </c>
      <c r="Q678">
        <v>0</v>
      </c>
      <c r="R678">
        <v>5</v>
      </c>
    </row>
    <row r="679" spans="1:18" x14ac:dyDescent="0.3">
      <c r="A679">
        <v>678</v>
      </c>
      <c r="B679" t="s">
        <v>272</v>
      </c>
      <c r="C679" t="s">
        <v>883</v>
      </c>
      <c r="D679" t="str">
        <f>_xlfn.CONCAT(EmpTable[[#This Row],[First Name]],EmpTable[[#This Row],[Last Name]])</f>
        <v>AmjadNasir</v>
      </c>
      <c r="E679" t="s">
        <v>32</v>
      </c>
      <c r="F679" s="1">
        <v>43538</v>
      </c>
      <c r="G679" s="2">
        <f ca="1">DATEDIF(EmpTable[[#This Row],[Start Date]],TODAY(),"Y")</f>
        <v>7</v>
      </c>
      <c r="H679" s="2" t="str" cm="1">
        <f t="array" aca="1" ref="H679" ca="1">_xlfn.IFS(G679&lt;=1,"Fresh",G679&lt;=3,"Junior",G679&lt;=7,"Teamlead",G679&gt;=7,"manger")</f>
        <v>Teamlead</v>
      </c>
      <c r="I679" t="s">
        <v>353</v>
      </c>
      <c r="J679" t="s">
        <v>22</v>
      </c>
      <c r="K679" t="s">
        <v>42</v>
      </c>
      <c r="L679">
        <v>2815</v>
      </c>
      <c r="M679">
        <v>33780</v>
      </c>
      <c r="N679">
        <v>3</v>
      </c>
      <c r="O679" t="str" cm="1">
        <f t="array" ref="O679">_xlfn.IFS(EmpTable[[#This Row],[Job Rate]] &lt;=1,"LOW",N679&lt;=2,"LOW",N679&lt;=3,"MEDIUM",N679&gt;4,"HIGH")</f>
        <v>MEDIUM</v>
      </c>
      <c r="P679">
        <v>6</v>
      </c>
      <c r="Q679">
        <v>0</v>
      </c>
      <c r="R679">
        <v>2</v>
      </c>
    </row>
    <row r="680" spans="1:18" x14ac:dyDescent="0.3">
      <c r="A680">
        <v>679</v>
      </c>
      <c r="B680" t="s">
        <v>884</v>
      </c>
      <c r="C680" t="s">
        <v>885</v>
      </c>
      <c r="D680" t="str">
        <f>_xlfn.CONCAT(EmpTable[[#This Row],[First Name]],EmpTable[[#This Row],[Last Name]])</f>
        <v>ImanGhrz Aldiyn</v>
      </c>
      <c r="E680" t="s">
        <v>307</v>
      </c>
      <c r="F680" s="1">
        <v>43448</v>
      </c>
      <c r="G680" s="2">
        <f ca="1">DATEDIF(EmpTable[[#This Row],[Start Date]],TODAY(),"Y")</f>
        <v>7</v>
      </c>
      <c r="H680" s="2" t="str" cm="1">
        <f t="array" aca="1" ref="H680" ca="1">_xlfn.IFS(G680&lt;=1,"Fresh",G680&lt;=3,"Junior",G680&lt;=7,"Teamlead",G680&gt;=7,"manger")</f>
        <v>Teamlead</v>
      </c>
      <c r="I680" t="s">
        <v>45</v>
      </c>
      <c r="J680" t="s">
        <v>48</v>
      </c>
      <c r="K680" t="s">
        <v>898</v>
      </c>
      <c r="L680">
        <v>1134</v>
      </c>
      <c r="M680">
        <v>13608</v>
      </c>
      <c r="N680">
        <v>2</v>
      </c>
      <c r="O680" t="str" cm="1">
        <f t="array" ref="O680">_xlfn.IFS(EmpTable[[#This Row],[Job Rate]] &lt;=1,"LOW",N680&lt;=2,"LOW",N680&lt;=3,"MEDIUM",N680&gt;4,"HIGH")</f>
        <v>LOW</v>
      </c>
      <c r="P680">
        <v>0</v>
      </c>
      <c r="Q680">
        <v>0</v>
      </c>
      <c r="R680">
        <v>14</v>
      </c>
    </row>
    <row r="681" spans="1:18" x14ac:dyDescent="0.3">
      <c r="A681">
        <v>680</v>
      </c>
      <c r="B681" t="s">
        <v>886</v>
      </c>
      <c r="C681" t="s">
        <v>887</v>
      </c>
      <c r="D681" t="str">
        <f>_xlfn.CONCAT(EmpTable[[#This Row],[First Name]],EmpTable[[#This Row],[Last Name]])</f>
        <v>AlysiaAlyaghshiu</v>
      </c>
      <c r="E681" t="s">
        <v>307</v>
      </c>
      <c r="F681" s="1">
        <v>43757</v>
      </c>
      <c r="G681" s="2">
        <f ca="1">DATEDIF(EmpTable[[#This Row],[Start Date]],TODAY(),"Y")</f>
        <v>6</v>
      </c>
      <c r="H681" s="2" t="str" cm="1">
        <f t="array" aca="1" ref="H681" ca="1">_xlfn.IFS(G681&lt;=1,"Fresh",G681&lt;=3,"Junior",G681&lt;=7,"Teamlead",G681&gt;=7,"manger")</f>
        <v>Teamlead</v>
      </c>
      <c r="I681" t="s">
        <v>76</v>
      </c>
      <c r="J681" t="s">
        <v>29</v>
      </c>
      <c r="K681" t="s">
        <v>19</v>
      </c>
      <c r="L681">
        <v>3334</v>
      </c>
      <c r="M681">
        <v>40008</v>
      </c>
      <c r="N681">
        <v>1</v>
      </c>
      <c r="O681" t="str" cm="1">
        <f t="array" ref="O681">_xlfn.IFS(EmpTable[[#This Row],[Job Rate]] &lt;=1,"LOW",N681&lt;=2,"LOW",N681&lt;=3,"MEDIUM",N681&gt;4,"HIGH")</f>
        <v>LOW</v>
      </c>
      <c r="P681">
        <v>0</v>
      </c>
      <c r="Q681">
        <v>0</v>
      </c>
      <c r="R681">
        <v>4</v>
      </c>
    </row>
    <row r="682" spans="1:18" x14ac:dyDescent="0.3">
      <c r="A682">
        <v>681</v>
      </c>
      <c r="B682" t="s">
        <v>67</v>
      </c>
      <c r="C682" t="s">
        <v>326</v>
      </c>
      <c r="D682" t="str">
        <f>_xlfn.CONCAT(EmpTable[[#This Row],[First Name]],EmpTable[[#This Row],[Last Name]])</f>
        <v>AyhamAlqadi</v>
      </c>
      <c r="E682" t="s">
        <v>32</v>
      </c>
      <c r="F682" s="1">
        <v>43981</v>
      </c>
      <c r="G682" s="2">
        <f ca="1">DATEDIF(EmpTable[[#This Row],[Start Date]],TODAY(),"Y")</f>
        <v>5</v>
      </c>
      <c r="H682" s="2" t="str" cm="1">
        <f t="array" aca="1" ref="H682" ca="1">_xlfn.IFS(G682&lt;=1,"Fresh",G682&lt;=3,"Junior",G682&lt;=7,"Teamlead",G682&gt;=7,"manger")</f>
        <v>Teamlead</v>
      </c>
      <c r="I682" t="s">
        <v>28</v>
      </c>
      <c r="J682" t="s">
        <v>48</v>
      </c>
      <c r="K682" t="s">
        <v>898</v>
      </c>
      <c r="L682">
        <v>2574</v>
      </c>
      <c r="M682">
        <v>30888</v>
      </c>
      <c r="N682">
        <v>3</v>
      </c>
      <c r="O682" t="str" cm="1">
        <f t="array" ref="O682">_xlfn.IFS(EmpTable[[#This Row],[Job Rate]] &lt;=1,"LOW",N682&lt;=2,"LOW",N682&lt;=3,"MEDIUM",N682&gt;4,"HIGH")</f>
        <v>MEDIUM</v>
      </c>
      <c r="P682">
        <v>3</v>
      </c>
      <c r="Q682">
        <v>0</v>
      </c>
      <c r="R682">
        <v>4</v>
      </c>
    </row>
    <row r="683" spans="1:18" x14ac:dyDescent="0.3">
      <c r="A683">
        <v>682</v>
      </c>
      <c r="B683" t="s">
        <v>327</v>
      </c>
      <c r="C683" t="s">
        <v>888</v>
      </c>
      <c r="D683" t="str">
        <f>_xlfn.CONCAT(EmpTable[[#This Row],[First Name]],EmpTable[[#This Row],[Last Name]])</f>
        <v>DieaShuelan</v>
      </c>
      <c r="E683" t="s">
        <v>32</v>
      </c>
      <c r="F683" s="1">
        <v>43530</v>
      </c>
      <c r="G683" s="2">
        <f ca="1">DATEDIF(EmpTable[[#This Row],[Start Date]],TODAY(),"Y")</f>
        <v>7</v>
      </c>
      <c r="H683" s="2" t="str" cm="1">
        <f t="array" aca="1" ref="H683" ca="1">_xlfn.IFS(G683&lt;=1,"Fresh",G683&lt;=3,"Junior",G683&lt;=7,"Teamlead",G683&gt;=7,"manger")</f>
        <v>Teamlead</v>
      </c>
      <c r="I683" t="s">
        <v>28</v>
      </c>
      <c r="J683" t="s">
        <v>18</v>
      </c>
      <c r="K683" t="s">
        <v>19</v>
      </c>
      <c r="L683">
        <v>1123</v>
      </c>
      <c r="M683">
        <v>13476</v>
      </c>
      <c r="N683">
        <v>1</v>
      </c>
      <c r="O683" t="str" cm="1">
        <f t="array" ref="O683">_xlfn.IFS(EmpTable[[#This Row],[Job Rate]] &lt;=1,"LOW",N683&lt;=2,"LOW",N683&lt;=3,"MEDIUM",N683&gt;4,"HIGH")</f>
        <v>LOW</v>
      </c>
      <c r="P683">
        <v>0</v>
      </c>
      <c r="Q683">
        <v>0</v>
      </c>
      <c r="R683">
        <v>7</v>
      </c>
    </row>
    <row r="684" spans="1:18" x14ac:dyDescent="0.3">
      <c r="A684">
        <v>683</v>
      </c>
      <c r="B684" t="s">
        <v>357</v>
      </c>
      <c r="C684" t="s">
        <v>758</v>
      </c>
      <c r="D684" t="str">
        <f>_xlfn.CONCAT(EmpTable[[#This Row],[First Name]],EmpTable[[#This Row],[Last Name]])</f>
        <v>HusamAlsaed</v>
      </c>
      <c r="E684" t="s">
        <v>32</v>
      </c>
      <c r="F684" s="1">
        <v>42502</v>
      </c>
      <c r="G684" s="2">
        <f ca="1">DATEDIF(EmpTable[[#This Row],[Start Date]],TODAY(),"Y")</f>
        <v>9</v>
      </c>
      <c r="H684" s="2" t="str" cm="1">
        <f t="array" aca="1" ref="H684" ca="1">_xlfn.IFS(G684&lt;=1,"Fresh",G684&lt;=3,"Junior",G684&lt;=7,"Teamlead",G684&gt;=7,"manger")</f>
        <v>manger</v>
      </c>
      <c r="I684" t="s">
        <v>41</v>
      </c>
      <c r="J684" t="s">
        <v>29</v>
      </c>
      <c r="K684" t="s">
        <v>42</v>
      </c>
      <c r="L684">
        <v>2147</v>
      </c>
      <c r="M684">
        <v>25764</v>
      </c>
      <c r="N684">
        <v>3</v>
      </c>
      <c r="O684" t="str" cm="1">
        <f t="array" ref="O684">_xlfn.IFS(EmpTable[[#This Row],[Job Rate]] &lt;=1,"LOW",N684&lt;=2,"LOW",N684&lt;=3,"MEDIUM",N684&gt;4,"HIGH")</f>
        <v>MEDIUM</v>
      </c>
      <c r="P684">
        <v>0</v>
      </c>
      <c r="Q684">
        <v>4</v>
      </c>
      <c r="R684">
        <v>2</v>
      </c>
    </row>
    <row r="685" spans="1:18" x14ac:dyDescent="0.3">
      <c r="A685">
        <v>684</v>
      </c>
      <c r="B685" t="s">
        <v>889</v>
      </c>
      <c r="C685" t="s">
        <v>890</v>
      </c>
      <c r="D685" t="str">
        <f>_xlfn.CONCAT(EmpTable[[#This Row],[First Name]],EmpTable[[#This Row],[Last Name]])</f>
        <v>AsdBwfaeur</v>
      </c>
      <c r="E685" t="s">
        <v>32</v>
      </c>
      <c r="F685" s="1">
        <v>42913</v>
      </c>
      <c r="G685" s="2">
        <f ca="1">DATEDIF(EmpTable[[#This Row],[Start Date]],TODAY(),"Y")</f>
        <v>8</v>
      </c>
      <c r="H685" s="2" t="str" cm="1">
        <f t="array" aca="1" ref="H685" ca="1">_xlfn.IFS(G685&lt;=1,"Fresh",G685&lt;=3,"Junior",G685&lt;=7,"Teamlead",G685&gt;=7,"manger")</f>
        <v>manger</v>
      </c>
      <c r="I685" t="s">
        <v>50</v>
      </c>
      <c r="J685" t="s">
        <v>18</v>
      </c>
      <c r="K685" t="s">
        <v>42</v>
      </c>
      <c r="L685">
        <v>2929</v>
      </c>
      <c r="M685">
        <v>35148</v>
      </c>
      <c r="N685">
        <v>4.5</v>
      </c>
      <c r="O685" t="str" cm="1">
        <f t="array" ref="O685">_xlfn.IFS(EmpTable[[#This Row],[Job Rate]] &lt;=1,"LOW",N685&lt;=2,"LOW",N685&lt;=3,"MEDIUM",N685&gt;4,"HIGH")</f>
        <v>HIGH</v>
      </c>
      <c r="P685">
        <v>0</v>
      </c>
      <c r="Q685">
        <v>0</v>
      </c>
      <c r="R685">
        <v>2</v>
      </c>
    </row>
    <row r="686" spans="1:18" x14ac:dyDescent="0.3">
      <c r="A686">
        <v>685</v>
      </c>
      <c r="B686" t="s">
        <v>891</v>
      </c>
      <c r="C686" t="s">
        <v>892</v>
      </c>
      <c r="D686" t="str">
        <f>_xlfn.CONCAT(EmpTable[[#This Row],[First Name]],EmpTable[[#This Row],[Last Name]])</f>
        <v>SariHanna</v>
      </c>
      <c r="E686" t="s">
        <v>32</v>
      </c>
      <c r="F686" s="1">
        <v>43977</v>
      </c>
      <c r="G686" s="2">
        <f ca="1">DATEDIF(EmpTable[[#This Row],[Start Date]],TODAY(),"Y")</f>
        <v>5</v>
      </c>
      <c r="H686" s="2" t="str" cm="1">
        <f t="array" aca="1" ref="H686" ca="1">_xlfn.IFS(G686&lt;=1,"Fresh",G686&lt;=3,"Junior",G686&lt;=7,"Teamlead",G686&gt;=7,"manger")</f>
        <v>Teamlead</v>
      </c>
      <c r="I686" t="s">
        <v>58</v>
      </c>
      <c r="J686" t="s">
        <v>294</v>
      </c>
      <c r="K686" t="s">
        <v>60</v>
      </c>
      <c r="L686">
        <v>1452</v>
      </c>
      <c r="M686">
        <v>17424</v>
      </c>
      <c r="N686">
        <v>2</v>
      </c>
      <c r="O686" t="str" cm="1">
        <f t="array" ref="O686">_xlfn.IFS(EmpTable[[#This Row],[Job Rate]] &lt;=1,"LOW",N686&lt;=2,"LOW",N686&lt;=3,"MEDIUM",N686&gt;4,"HIGH")</f>
        <v>LOW</v>
      </c>
      <c r="P686">
        <v>0</v>
      </c>
      <c r="Q686">
        <v>3</v>
      </c>
      <c r="R686">
        <v>1</v>
      </c>
    </row>
    <row r="687" spans="1:18" x14ac:dyDescent="0.3">
      <c r="A687">
        <v>686</v>
      </c>
      <c r="B687" t="s">
        <v>893</v>
      </c>
      <c r="C687" t="s">
        <v>894</v>
      </c>
      <c r="D687" t="str">
        <f>_xlfn.CONCAT(EmpTable[[#This Row],[First Name]],EmpTable[[#This Row],[Last Name]])</f>
        <v>EubaydaKayd</v>
      </c>
      <c r="E687" t="s">
        <v>32</v>
      </c>
      <c r="F687" s="1">
        <v>43985</v>
      </c>
      <c r="G687" s="2">
        <f ca="1">DATEDIF(EmpTable[[#This Row],[Start Date]],TODAY(),"Y")</f>
        <v>5</v>
      </c>
      <c r="H687" s="2" t="str" cm="1">
        <f t="array" aca="1" ref="H687" ca="1">_xlfn.IFS(G687&lt;=1,"Fresh",G687&lt;=3,"Junior",G687&lt;=7,"Teamlead",G687&gt;=7,"manger")</f>
        <v>Teamlead</v>
      </c>
      <c r="I687" t="s">
        <v>53</v>
      </c>
      <c r="J687" t="s">
        <v>18</v>
      </c>
      <c r="K687" t="s">
        <v>36</v>
      </c>
      <c r="L687">
        <v>3237</v>
      </c>
      <c r="M687">
        <v>38844</v>
      </c>
      <c r="N687">
        <v>3</v>
      </c>
      <c r="O687" t="str" cm="1">
        <f t="array" ref="O687">_xlfn.IFS(EmpTable[[#This Row],[Job Rate]] &lt;=1,"LOW",N687&lt;=2,"LOW",N687&lt;=3,"MEDIUM",N687&gt;4,"HIGH")</f>
        <v>MEDIUM</v>
      </c>
      <c r="P687">
        <v>1</v>
      </c>
      <c r="Q687">
        <v>0</v>
      </c>
      <c r="R687">
        <v>4</v>
      </c>
    </row>
    <row r="688" spans="1:18" x14ac:dyDescent="0.3">
      <c r="A688">
        <v>687</v>
      </c>
      <c r="B688" t="s">
        <v>290</v>
      </c>
      <c r="C688" t="s">
        <v>895</v>
      </c>
      <c r="D688" t="str">
        <f>_xlfn.CONCAT(EmpTable[[#This Row],[First Name]],EmpTable[[#This Row],[Last Name]])</f>
        <v>KhalilAlkalu</v>
      </c>
      <c r="E688" t="s">
        <v>32</v>
      </c>
      <c r="F688" s="1">
        <v>42927</v>
      </c>
      <c r="G688" s="2">
        <f ca="1">DATEDIF(EmpTable[[#This Row],[Start Date]],TODAY(),"Y")</f>
        <v>8</v>
      </c>
      <c r="H688" s="2" t="str" cm="1">
        <f t="array" aca="1" ref="H688" ca="1">_xlfn.IFS(G688&lt;=1,"Fresh",G688&lt;=3,"Junior",G688&lt;=7,"Teamlead",G688&gt;=7,"manger")</f>
        <v>manger</v>
      </c>
      <c r="I688" t="s">
        <v>53</v>
      </c>
      <c r="J688" t="s">
        <v>18</v>
      </c>
      <c r="K688" t="s">
        <v>36</v>
      </c>
      <c r="L688">
        <v>2819</v>
      </c>
      <c r="M688">
        <v>33828</v>
      </c>
      <c r="N688">
        <v>5</v>
      </c>
      <c r="O688" t="str" cm="1">
        <f t="array" ref="O688">_xlfn.IFS(EmpTable[[#This Row],[Job Rate]] &lt;=1,"LOW",N688&lt;=2,"LOW",N688&lt;=3,"MEDIUM",N688&gt;4,"HIGH")</f>
        <v>HIGH</v>
      </c>
      <c r="P688">
        <v>0</v>
      </c>
      <c r="Q688">
        <v>0</v>
      </c>
      <c r="R688">
        <v>0</v>
      </c>
    </row>
    <row r="689" spans="1:18" x14ac:dyDescent="0.3">
      <c r="A689">
        <v>688</v>
      </c>
      <c r="B689" t="s">
        <v>33</v>
      </c>
      <c r="C689" t="s">
        <v>896</v>
      </c>
      <c r="D689" t="str">
        <f>_xlfn.CONCAT(EmpTable[[#This Row],[First Name]],EmpTable[[#This Row],[Last Name]])</f>
        <v>MuhamadShrbjy</v>
      </c>
      <c r="E689" t="s">
        <v>32</v>
      </c>
      <c r="F689" s="1">
        <v>43250</v>
      </c>
      <c r="G689" s="2">
        <f ca="1">DATEDIF(EmpTable[[#This Row],[Start Date]],TODAY(),"Y")</f>
        <v>7</v>
      </c>
      <c r="H689" s="2" t="str" cm="1">
        <f t="array" aca="1" ref="H689" ca="1">_xlfn.IFS(G689&lt;=1,"Fresh",G689&lt;=3,"Junior",G689&lt;=7,"Teamlead",G689&gt;=7,"manger")</f>
        <v>Teamlead</v>
      </c>
      <c r="I689" t="s">
        <v>118</v>
      </c>
      <c r="J689" t="s">
        <v>18</v>
      </c>
      <c r="K689" t="s">
        <v>36</v>
      </c>
      <c r="L689">
        <v>2069</v>
      </c>
      <c r="M689">
        <v>24828</v>
      </c>
      <c r="N689">
        <v>3</v>
      </c>
      <c r="O689" t="str" cm="1">
        <f t="array" ref="O689">_xlfn.IFS(EmpTable[[#This Row],[Job Rate]] &lt;=1,"LOW",N689&lt;=2,"LOW",N689&lt;=3,"MEDIUM",N689&gt;4,"HIGH")</f>
        <v>MEDIUM</v>
      </c>
      <c r="P689">
        <v>0</v>
      </c>
      <c r="Q689">
        <v>0</v>
      </c>
      <c r="R689">
        <v>10</v>
      </c>
    </row>
    <row r="690" spans="1:18" x14ac:dyDescent="0.3">
      <c r="A690">
        <v>689</v>
      </c>
      <c r="B690" t="s">
        <v>897</v>
      </c>
      <c r="C690" t="s">
        <v>504</v>
      </c>
      <c r="D690" t="str">
        <f>_xlfn.CONCAT(EmpTable[[#This Row],[First Name]],EmpTable[[#This Row],[Last Name]])</f>
        <v>Abd AlbasitAlAhmar</v>
      </c>
      <c r="E690" t="s">
        <v>32</v>
      </c>
      <c r="F690" s="1">
        <v>44048</v>
      </c>
      <c r="G690" s="2">
        <f ca="1">DATEDIF(EmpTable[[#This Row],[Start Date]],TODAY(),"Y")</f>
        <v>5</v>
      </c>
      <c r="H690" s="2" t="str" cm="1">
        <f t="array" aca="1" ref="H690" ca="1">_xlfn.IFS(G690&lt;=1,"Fresh",G690&lt;=3,"Junior",G690&lt;=7,"Teamlead",G690&gt;=7,"manger")</f>
        <v>Teamlead</v>
      </c>
      <c r="I690" t="s">
        <v>50</v>
      </c>
      <c r="J690" t="s">
        <v>29</v>
      </c>
      <c r="K690" t="s">
        <v>36</v>
      </c>
      <c r="L690">
        <v>2606</v>
      </c>
      <c r="M690">
        <v>31272</v>
      </c>
      <c r="N690">
        <v>5</v>
      </c>
      <c r="O690" t="str" cm="1">
        <f t="array" ref="O690">_xlfn.IFS(EmpTable[[#This Row],[Job Rate]] &lt;=1,"LOW",N690&lt;=2,"LOW",N690&lt;=3,"MEDIUM",N690&gt;4,"HIGH")</f>
        <v>HIGH</v>
      </c>
      <c r="P690">
        <v>0</v>
      </c>
      <c r="Q690">
        <v>0</v>
      </c>
      <c r="R690">
        <v>0</v>
      </c>
    </row>
  </sheetData>
  <conditionalFormatting sqref="N2:O690">
    <cfRule type="iconSet" priority="2">
      <iconSet iconSet="3Arrows">
        <cfvo type="percent" val="0"/>
        <cfvo type="percent" val="33"/>
        <cfvo type="percent" val="67"/>
      </iconSet>
    </cfRule>
  </conditionalFormatting>
  <conditionalFormatting sqref="O2:O690">
    <cfRule type="colorScale" priority="1">
      <colorScale>
        <cfvo type="min"/>
        <cfvo type="max"/>
        <color rgb="FFFF7128"/>
        <color rgb="FFFFEF9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E6F46-37B2-42F8-903E-AF4CD0CE0677}">
  <dimension ref="D6:E13"/>
  <sheetViews>
    <sheetView workbookViewId="0">
      <selection activeCell="D13" sqref="D13"/>
    </sheetView>
  </sheetViews>
  <sheetFormatPr defaultRowHeight="15.6" x14ac:dyDescent="0.3"/>
  <cols>
    <col min="4" max="4" width="41.796875" bestFit="1" customWidth="1"/>
    <col min="5" max="5" width="10" bestFit="1" customWidth="1"/>
  </cols>
  <sheetData>
    <row r="6" spans="4:5" x14ac:dyDescent="0.3">
      <c r="D6" t="s">
        <v>899</v>
      </c>
      <c r="E6" t="s">
        <v>900</v>
      </c>
    </row>
    <row r="7" spans="4:5" x14ac:dyDescent="0.3">
      <c r="D7" t="s">
        <v>901</v>
      </c>
      <c r="E7">
        <f>COUNTA(EmpTable[No])</f>
        <v>689</v>
      </c>
    </row>
    <row r="8" spans="4:5" x14ac:dyDescent="0.3">
      <c r="D8" t="s">
        <v>902</v>
      </c>
      <c r="E8">
        <f>COUNTA(_xlfn.UNIQUE(EmpTable[Department]))</f>
        <v>20</v>
      </c>
    </row>
    <row r="9" spans="4:5" x14ac:dyDescent="0.3">
      <c r="D9" s="3" t="s">
        <v>903</v>
      </c>
    </row>
    <row r="10" spans="4:5" x14ac:dyDescent="0.3">
      <c r="D10" s="3" t="s">
        <v>904</v>
      </c>
    </row>
    <row r="11" spans="4:5" x14ac:dyDescent="0.3">
      <c r="D11" s="3" t="s">
        <v>905</v>
      </c>
    </row>
    <row r="12" spans="4:5" x14ac:dyDescent="0.3">
      <c r="D12" s="3" t="s">
        <v>906</v>
      </c>
    </row>
    <row r="13" spans="4:5" x14ac:dyDescent="0.3">
      <c r="D13" s="4" t="s">
        <v>907</v>
      </c>
    </row>
  </sheetData>
  <pageMargins left="0.7" right="0.7" top="0.75" bottom="0.75" header="0.3" footer="0.3"/>
  <ignoredErrors>
    <ignoredError sqref="E8" calculatedColumn="1"/>
  </ignoredErrors>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Employees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Al-Munthir Saffan</dc:creator>
  <cp:lastModifiedBy>Omar El Maghraby</cp:lastModifiedBy>
  <dcterms:created xsi:type="dcterms:W3CDTF">2021-01-14T04:56:01Z</dcterms:created>
  <dcterms:modified xsi:type="dcterms:W3CDTF">2026-04-01T15:26:16Z</dcterms:modified>
</cp:coreProperties>
</file>